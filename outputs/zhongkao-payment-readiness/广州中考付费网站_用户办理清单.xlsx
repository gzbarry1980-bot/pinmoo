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62890948d741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开始这里" sheetId="1" r:id="Rbea47512f941475f"/>
    <x:sheet xmlns:r="http://schemas.openxmlformats.org/officeDocument/2006/relationships" name="办理清单" sheetId="2" r:id="Ra9220ad648034fe6"/>
    <x:sheet xmlns:r="http://schemas.openxmlformats.org/officeDocument/2006/relationships" name="回传给Codex" sheetId="3" r:id="Rf7408f4c11d449c5"/>
    <x:sheet xmlns:r="http://schemas.openxmlformats.org/officeDocument/2006/relationships" name="Codex后续" sheetId="4" r:id="R48c49b78d4f149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28">
    <x:font>
      <x:sz val="11"/>
      <x:name val="Carlito"/>
    </x:font>
    <x:font>
      <x:b/>
      <x:sz val="20"/>
      <x:color rgb="FFFFFFFF"/>
      <x:name val="Carlito"/>
    </x:font>
    <x:font>
      <x:sz val="11"/>
      <x:color rgb="FF24313D"/>
      <x:name val="Carlito"/>
    </x:font>
    <x:font>
      <x:b/>
      <x:sz val="11"/>
      <x:color rgb="FFFFFFFF"/>
      <x:name val="Carlito"/>
    </x:font>
    <x:font>
      <x:b/>
      <x:sz val="18"/>
      <x:color rgb="FF0B2A4A"/>
      <x:name val="Carlito"/>
    </x:font>
    <x:font>
      <x:b/>
      <x:sz val="12"/>
      <x:color rgb="FFFFFFFF"/>
      <x:name val="Carlito"/>
    </x:font>
    <x:font>
      <x:b/>
      <x:sz val="11"/>
      <x:color rgb="FF9A6500"/>
      <x:name val="Carlito"/>
    </x:font>
    <x:font>
      <x:b/>
      <x:sz val="11"/>
      <x:color rgb="FF168C83"/>
      <x:name val="Carlito"/>
    </x:font>
    <x:font>
      <x:b/>
      <x:sz val="20"/>
      <x:color rgb="FFFFFFFF"/>
      <x:name val="Microsoft YaHei"/>
    </x:font>
    <x:font>
      <x:sz val="11"/>
      <x:color rgb="FF24313D"/>
      <x:name val="Microsoft YaHei"/>
    </x:font>
    <x:font>
      <x:sz val="11"/>
      <x:name val="Microsoft YaHei"/>
    </x:font>
    <x:font>
      <x:b/>
      <x:sz val="11"/>
      <x:color rgb="FFFFFFFF"/>
      <x:name val="Microsoft YaHei"/>
    </x:font>
    <x:font>
      <x:b/>
      <x:sz val="18"/>
      <x:color rgb="FF0B2A4A"/>
      <x:name val="Microsoft YaHei"/>
    </x:font>
    <x:font>
      <x:b/>
      <x:sz val="12"/>
      <x:color rgb="FFFFFFFF"/>
      <x:name val="Microsoft YaHei"/>
    </x:font>
    <x:font>
      <x:b/>
      <x:sz val="11"/>
      <x:color rgb="FF9A6500"/>
      <x:name val="Microsoft YaHei"/>
    </x:font>
    <x:font>
      <x:b/>
      <x:sz val="11"/>
      <x:color rgb="FF168C83"/>
      <x:name val="Microsoft YaHei"/>
    </x:font>
    <x:font>
      <x:b/>
      <x:sz val="18"/>
      <x:color rgb="FFFFFFFF"/>
      <x:name val="Carlito"/>
    </x:font>
    <x:font>
      <x:i/>
      <x:sz val="10"/>
      <x:color rgb="FF5D6A75"/>
      <x:name val="Carlito"/>
    </x:font>
    <x:font>
      <x:b/>
      <x:sz val="10"/>
      <x:color rgb="FFFFFFFF"/>
      <x:name val="Carlito"/>
    </x:font>
    <x:font>
      <x:sz val="9"/>
      <x:color rgb="FF24313D"/>
      <x:name val="Microsoft YaHei"/>
    </x:font>
    <x:font>
      <x:sz val="10"/>
      <x:color rgb="FF24313D"/>
      <x:name val="Microsoft YaHei"/>
    </x:font>
    <x:font>
      <x:sz val="10"/>
      <x:color rgb="FF0B2A4A"/>
      <x:name val="Microsoft YaHei"/>
    </x:font>
    <x:font>
      <x:b/>
      <x:sz val="11"/>
      <x:color rgb="FF9A2626"/>
      <x:name val="Carlito"/>
    </x:font>
    <x:font>
      <x:b/>
      <x:sz val="18"/>
      <x:color rgb="FFFFFFFF"/>
      <x:name val="Microsoft YaHei"/>
    </x:font>
    <x:font>
      <x:i/>
      <x:sz val="10"/>
      <x:color rgb="FF5D6A75"/>
      <x:name val="Microsoft YaHei"/>
    </x:font>
    <x:font>
      <x:b/>
      <x:sz val="10"/>
      <x:color rgb="FFFFFFFF"/>
      <x:name val="Microsoft YaHei"/>
    </x:font>
    <x:font>
      <x:b/>
      <x:sz val="11"/>
      <x:color rgb="FF9A2626"/>
      <x:name val="Microsoft YaHei"/>
    </x:font>
    <x:font>
      <x:b/>
      <x:sz val="10"/>
      <x:color rgb="FF8A6200"/>
      <x:name val="Microsoft YaHei"/>
    </x:font>
  </x:fonts>
  <x:fills count="11">
    <x:fill>
      <x:patternFill patternType="none"/>
    </x:fill>
    <x:fill>
      <x:patternFill patternType="gray125"/>
    </x:fill>
    <x:fill>
      <x:patternFill patternType="solid">
        <x:fgColor rgb="FF0B2A4A"/>
      </x:patternFill>
    </x:fill>
    <x:fill>
      <x:patternFill patternType="solid">
        <x:fgColor rgb="FFEAF2F8"/>
      </x:patternFill>
    </x:fill>
    <x:fill>
      <x:patternFill patternType="solid">
        <x:fgColor rgb="FF174D7A"/>
      </x:patternFill>
    </x:fill>
    <x:fill>
      <x:patternFill patternType="solid">
        <x:fgColor rgb="FFE8F6F3"/>
      </x:patternFill>
    </x:fill>
    <x:fill>
      <x:patternFill patternType="solid">
        <x:fgColor rgb="FFFFF5D6"/>
      </x:patternFill>
    </x:fill>
    <x:fill>
      <x:patternFill patternType="solid">
        <x:fgColor rgb="FF168C83"/>
      </x:patternFill>
    </x:fill>
    <x:fill>
      <x:patternFill patternType="solid">
        <x:fgColor rgb="FFF4F6F8"/>
      </x:patternFill>
    </x:fill>
    <x:fill>
      <x:patternFill patternType="solid">
        <x:fgColor rgb="FFFFFBEA"/>
      </x:patternFill>
    </x:fill>
    <x:fill>
      <x:patternFill patternType="solid">
        <x:fgColor rgb="FFFDECEC"/>
      </x:patternFill>
    </x:fill>
  </x:fills>
  <x:borders count="18">
    <x:border/>
    <x:border>
      <x:left style="thin">
        <x:color rgb="FFD7DEE5"/>
      </x:left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bottom style="thin">
        <x:color rgb="FFD7DEE5"/>
      </x:bottom>
    </x:border>
    <x:border>
      <x:top style="thin">
        <x:color rgb="FFD7DEE5"/>
      </x:top>
      <x:bottom style="thin">
        <x:color rgb="FFD7DEE5"/>
      </x:bottom>
    </x:border>
    <x:border>
      <x:top style="thin">
        <x:color rgb="FFD7DEE5"/>
      </x:top>
    </x:border>
    <x:border>
      <x:left style="thin">
        <x:color rgb="FFD7DEE5"/>
      </x:left>
      <x:top style="thin">
        <x:color rgb="FFD7DEE5"/>
      </x:top>
      <x:bottom style="thin">
        <x:color rgb="FFD7DEE5"/>
      </x:bottom>
    </x:border>
    <x:border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left style="thin">
        <x:color rgb="FFE3C965"/>
      </x:left>
      <x:right style="thin">
        <x:color rgb="FFE3C965"/>
      </x:right>
      <x:top style="thin">
        <x:color rgb="FFE3C965"/>
      </x:top>
      <x:bottom style="thin">
        <x:color rgb="FFD7DEE5"/>
      </x:bottom>
    </x:border>
    <x:border>
      <x:left style="thin">
        <x:color rgb="FFE3C965"/>
      </x:left>
      <x:right style="thin">
        <x:color rgb="FFE3C965"/>
      </x:right>
      <x:top style="thin">
        <x:color rgb="FFD7DEE5"/>
      </x:top>
      <x:bottom style="thin">
        <x:color rgb="FFD7DEE5"/>
      </x:bottom>
    </x:border>
    <x:border>
      <x:left style="thin">
        <x:color rgb="FFE3C965"/>
      </x:left>
      <x:right style="thin">
        <x:color rgb="FFE3C965"/>
      </x:right>
      <x:top style="thin">
        <x:color rgb="FFD7DEE5"/>
      </x:top>
      <x:bottom style="thin">
        <x:color rgb="FFE3C965"/>
      </x:bottom>
    </x:border>
    <x:border>
      <x:left style="medium">
        <x:color rgb="FFD95C5C"/>
      </x:left>
      <x:top style="medium">
        <x:color rgb="FFD95C5C"/>
      </x:top>
    </x:border>
    <x:border>
      <x:top style="medium">
        <x:color rgb="FFD95C5C"/>
      </x:top>
    </x:border>
    <x:border>
      <x:right style="medium">
        <x:color rgb="FFD95C5C"/>
      </x:right>
      <x:top style="medium">
        <x:color rgb="FFD95C5C"/>
      </x:top>
    </x:border>
    <x:border>
      <x:left style="medium">
        <x:color rgb="FFD95C5C"/>
      </x:left>
    </x:border>
    <x:border>
      <x:right style="medium">
        <x:color rgb="FFD95C5C"/>
      </x:right>
    </x:border>
    <x:border>
      <x:left style="medium">
        <x:color rgb="FFD95C5C"/>
      </x:left>
      <x:bottom style="medium">
        <x:color rgb="FFD95C5C"/>
      </x:bottom>
    </x:border>
    <x:border>
      <x:bottom style="medium">
        <x:color rgb="FFD95C5C"/>
      </x:bottom>
    </x:border>
    <x:border>
      <x:right style="medium">
        <x:color rgb="FFD95C5C"/>
      </x:right>
      <x:bottom style="medium">
        <x:color rgb="FFD95C5C"/>
      </x:bottom>
    </x:border>
  </x:borders>
  <x:cellStyleXfs count="1">
    <x:xf numFmtId="0" fontId="0" fillId="0" borderId="0"/>
  </x:cellStyleXfs>
  <x:cellXfs count="19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2" xfId="0" applyNumberFormat="1" applyFont="1" applyFill="1" applyBorder="1"/>
    <x:xf numFmtId="0" fontId="2" fillId="6" borderId="3" xfId="0" applyNumberFormat="1" applyFont="1" applyFill="1" applyBorder="1"/>
    <x:xf numFmtId="0" fontId="2" fillId="6" borderId="4" xfId="0" applyNumberFormat="1" applyFont="1" applyFill="1" applyBorder="1"/>
    <x:xf numFmtId="0" fontId="2" fillId="6" borderId="2" xfId="0" applyNumberFormat="1" applyFont="1" applyFill="1" applyBorder="1" applyAlignment="1">
      <x:alignment wrapText="1"/>
    </x:xf>
    <x:xf numFmtId="0" fontId="2" fillId="6" borderId="3" xfId="0" applyNumberFormat="1" applyFont="1" applyFill="1" applyBorder="1" applyAlignment="1">
      <x:alignment wrapText="1"/>
    </x:xf>
    <x:xf numFmtId="0" fontId="2" fillId="6" borderId="4" xfId="0" applyNumberFormat="1" applyFont="1" applyFill="1" applyBorder="1" applyAlignment="1">
      <x:alignment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6" borderId="3" xfId="0" applyNumberFormat="1" applyFont="1" applyFill="1" applyBorder="1" applyAlignment="1">
      <x:alignment vertical="center" wrapText="1"/>
    </x:xf>
    <x:xf numFmtId="0" fontId="2" fillId="6" borderId="4" xfId="0" applyNumberFormat="1" applyFont="1" applyFill="1" applyBorder="1" applyAlignment="1">
      <x:alignment vertical="center" wrapText="1"/>
    </x:xf>
    <x:xf numFmtId="0" fontId="6" fillId="6" borderId="2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6" fillId="6" borderId="4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2" xfId="0" applyNumberFormat="1" applyFont="1" applyFill="1" applyBorder="1"/>
    <x:xf numFmtId="0" fontId="2" fillId="8" borderId="3" xfId="0" applyNumberFormat="1" applyFont="1" applyFill="1" applyBorder="1"/>
    <x:xf numFmtId="0" fontId="2" fillId="8" borderId="4" xfId="0" applyNumberFormat="1" applyFont="1" applyFill="1" applyBorder="1"/>
    <x:xf numFmtId="0" fontId="2" fillId="8" borderId="2" xfId="0" applyNumberFormat="1" applyFont="1" applyFill="1" applyBorder="1" applyAlignment="1">
      <x:alignment wrapText="1"/>
    </x:xf>
    <x:xf numFmtId="0" fontId="2" fillId="8" borderId="3" xfId="0" applyNumberFormat="1" applyFont="1" applyFill="1" applyBorder="1" applyAlignment="1">
      <x:alignment wrapText="1"/>
    </x:xf>
    <x:xf numFmtId="0" fontId="2" fillId="8" borderId="4" xfId="0" applyNumberFormat="1" applyFont="1" applyFill="1" applyBorder="1" applyAlignment="1">
      <x:alignment wrapText="1"/>
    </x:xf>
    <x:xf numFmtId="0" fontId="2" fillId="8" borderId="2" xfId="0" applyNumberFormat="1" applyFont="1" applyFill="1" applyBorder="1" applyAlignment="1">
      <x:alignment vertical="center" wrapText="1"/>
    </x:xf>
    <x:xf numFmtId="0" fontId="2" fillId="8" borderId="3" xfId="0" applyNumberFormat="1" applyFont="1" applyFill="1" applyBorder="1" applyAlignment="1">
      <x:alignment vertical="center" wrapText="1"/>
    </x:xf>
    <x:xf numFmtId="0" fontId="2" fillId="8" borderId="4" xfId="0" applyNumberFormat="1" applyFont="1" applyFill="1" applyBorder="1" applyAlignment="1">
      <x:alignment vertical="center" wrapText="1"/>
    </x:xf>
    <x:xf numFmtId="0" fontId="7" fillId="8" borderId="2" xfId="0" applyNumberFormat="1" applyFont="1" applyFill="1" applyBorder="1" applyAlignment="1">
      <x:alignment vertical="center" wrapText="1"/>
    </x:xf>
    <x:xf numFmtId="0" fontId="7" fillId="8" borderId="3" xfId="0" applyNumberFormat="1" applyFont="1" applyFill="1" applyBorder="1" applyAlignment="1">
      <x:alignment vertical="center" wrapText="1"/>
    </x:xf>
    <x:xf numFmtId="0" fontId="7" fillId="8" borderId="4" xfId="0" applyNumberFormat="1" applyFont="1" applyFill="1" applyBorder="1" applyAlignment="1">
      <x:alignment vertical="center" wrapText="1"/>
    </x:xf>
    <x:xf numFmtId="0" fontId="7" fillId="8" borderId="2" xfId="0" applyNumberFormat="1" applyFont="1" applyFill="1" applyBorder="1" applyAlignment="1">
      <x:alignment horizontal="center" vertical="center" wrapText="1"/>
    </x:xf>
    <x:xf numFmtId="0" fontId="7" fillId="8" borderId="3" xfId="0" applyNumberFormat="1" applyFont="1" applyFill="1" applyBorder="1" applyAlignment="1">
      <x:alignment horizontal="center" vertical="center" wrapText="1"/>
    </x:xf>
    <x:xf numFmtId="0" fontId="7" fillId="8" borderId="4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1" fillId="4" borderId="0" xfId="0" applyNumberFormat="1" applyFont="1" applyFill="1" applyBorder="1" applyAlignment="1">
      <x:alignment horizontal="center"/>
    </x:xf>
    <x:xf numFmtId="0" fontId="12" fillId="5" borderId="1" xfId="0" applyNumberFormat="1" applyFont="1" applyFill="1" applyBorder="1" applyAlignment="1">
      <x:alignment horizontal="center" vertical="center"/>
    </x:xf>
    <x:xf numFmtId="200" fontId="12" fillId="5" borderId="1" xfId="0" applyNumberFormat="1" applyFont="1" applyFill="1" applyBorder="1" applyAlignment="1">
      <x:alignment horizontal="center" vertical="center"/>
    </x:xf>
    <x:xf numFmtId="0" fontId="13" fillId="2" borderId="0" xfId="0" applyNumberFormat="1" applyFont="1" applyFill="1" applyBorder="1"/>
    <x:xf numFmtId="0" fontId="14" fillId="6" borderId="2" xfId="0" applyNumberFormat="1" applyFont="1" applyFill="1" applyBorder="1" applyAlignment="1">
      <x:alignment horizontal="center" vertical="center" wrapText="1"/>
    </x:xf>
    <x:xf numFmtId="0" fontId="9" fillId="6" borderId="2" xfId="0" applyNumberFormat="1" applyFont="1" applyFill="1" applyBorder="1" applyAlignment="1">
      <x:alignment vertical="center" wrapText="1"/>
    </x:xf>
    <x:xf numFmtId="0" fontId="14" fillId="6" borderId="3" xfId="0" applyNumberFormat="1" applyFont="1" applyFill="1" applyBorder="1" applyAlignment="1">
      <x:alignment horizontal="center" vertical="center" wrapText="1"/>
    </x:xf>
    <x:xf numFmtId="0" fontId="9" fillId="6" borderId="3" xfId="0" applyNumberFormat="1" applyFont="1" applyFill="1" applyBorder="1" applyAlignment="1">
      <x:alignment vertical="center" wrapText="1"/>
    </x:xf>
    <x:xf numFmtId="0" fontId="14" fillId="6" borderId="4" xfId="0" applyNumberFormat="1" applyFont="1" applyFill="1" applyBorder="1" applyAlignment="1">
      <x:alignment horizontal="center" vertical="center" wrapText="1"/>
    </x:xf>
    <x:xf numFmtId="0" fontId="9" fillId="6" borderId="4" xfId="0" applyNumberFormat="1" applyFont="1" applyFill="1" applyBorder="1" applyAlignment="1">
      <x:alignment vertical="center" wrapText="1"/>
    </x:xf>
    <x:xf numFmtId="0" fontId="13" fillId="7" borderId="0" xfId="0" applyNumberFormat="1" applyFont="1" applyFill="1" applyBorder="1"/>
    <x:xf numFmtId="0" fontId="15" fillId="8" borderId="2" xfId="0" applyNumberFormat="1" applyFont="1" applyFill="1" applyBorder="1" applyAlignment="1">
      <x:alignment horizontal="center" vertical="center" wrapText="1"/>
    </x:xf>
    <x:xf numFmtId="0" fontId="9" fillId="8" borderId="2" xfId="0" applyNumberFormat="1" applyFont="1" applyFill="1" applyBorder="1" applyAlignment="1">
      <x:alignment vertical="center" wrapText="1"/>
    </x:xf>
    <x:xf numFmtId="0" fontId="15" fillId="8" borderId="3" xfId="0" applyNumberFormat="1" applyFont="1" applyFill="1" applyBorder="1" applyAlignment="1">
      <x:alignment horizontal="center" vertical="center" wrapText="1"/>
    </x:xf>
    <x:xf numFmtId="0" fontId="9" fillId="8" borderId="3" xfId="0" applyNumberFormat="1" applyFont="1" applyFill="1" applyBorder="1" applyAlignment="1">
      <x:alignment vertical="center" wrapText="1"/>
    </x:xf>
    <x:xf numFmtId="0" fontId="15" fillId="8" borderId="4" xfId="0" applyNumberFormat="1" applyFont="1" applyFill="1" applyBorder="1" applyAlignment="1">
      <x:alignment horizontal="center" vertical="center" wrapText="1"/>
    </x:xf>
    <x:xf numFmtId="0" fontId="9" fillId="8" borderId="4" xfId="0" applyNumberFormat="1" applyFont="1" applyFill="1" applyBorder="1" applyAlignment="1">
      <x:alignment vertical="center" wrapText="1"/>
    </x:xf>
    <x:xf numFmtId="0" fontId="16" fillId="2" borderId="0" xfId="0" applyNumberFormat="1" applyFont="1" applyFill="1" applyBorder="1"/>
    <x:xf numFmtId="0" fontId="16" fillId="2" borderId="0" xfId="0" applyNumberFormat="1" applyFont="1" applyFill="1" applyBorder="1" applyAlignment="1">
      <x:alignment horizontal="left"/>
    </x:xf>
    <x:xf numFmtId="0" fontId="16" fillId="2" borderId="0" xfId="0" applyNumberFormat="1" applyFont="1" applyFill="1" applyBorder="1" applyAlignment="1">
      <x:alignment horizontal="left" vertical="center"/>
    </x:xf>
    <x:xf numFmtId="0" fontId="17" fillId="3" borderId="0" xfId="0" applyNumberFormat="1" applyFont="1" applyFill="1" applyBorder="1"/>
    <x:xf numFmtId="0" fontId="17" fillId="3" borderId="0" xfId="0" applyNumberFormat="1" applyFont="1" applyFill="1" applyBorder="1" applyAlignment="1">
      <x:alignment vertical="center"/>
    </x:xf>
    <x:xf numFmtId="0" fontId="18" fillId="4" borderId="0" xfId="0" applyNumberFormat="1" applyFont="1" applyFill="1" applyBorder="1"/>
    <x:xf numFmtId="0" fontId="18" fillId="4" borderId="5" xfId="0" applyNumberFormat="1" applyFont="1" applyFill="1" applyBorder="1"/>
    <x:xf numFmtId="0" fontId="18" fillId="4" borderId="3" xfId="0" applyNumberFormat="1" applyFont="1" applyFill="1" applyBorder="1"/>
    <x:xf numFmtId="0" fontId="18" fillId="4" borderId="6" xfId="0" applyNumberFormat="1" applyFont="1" applyFill="1" applyBorder="1"/>
    <x:xf numFmtId="0" fontId="18" fillId="4" borderId="5" xfId="0" applyNumberFormat="1" applyFont="1" applyFill="1" applyBorder="1" applyAlignment="1">
      <x:alignment wrapText="1"/>
    </x:xf>
    <x:xf numFmtId="0" fontId="18" fillId="4" borderId="3" xfId="0" applyNumberFormat="1" applyFont="1" applyFill="1" applyBorder="1" applyAlignment="1">
      <x:alignment wrapText="1"/>
    </x:xf>
    <x:xf numFmtId="0" fontId="18" fillId="4" borderId="6" xfId="0" applyNumberFormat="1" applyFont="1" applyFill="1" applyBorder="1" applyAlignment="1">
      <x:alignment wrapText="1"/>
    </x:xf>
    <x:xf numFmtId="0" fontId="18" fillId="4" borderId="5" xfId="0" applyNumberFormat="1" applyFont="1" applyFill="1" applyBorder="1" applyAlignment="1">
      <x:alignment horizontal="center" wrapText="1"/>
    </x:xf>
    <x:xf numFmtId="0" fontId="18" fillId="4" borderId="3" xfId="0" applyNumberFormat="1" applyFont="1" applyFill="1" applyBorder="1" applyAlignment="1">
      <x:alignment horizontal="center" wrapText="1"/>
    </x:xf>
    <x:xf numFmtId="0" fontId="18" fillId="4" borderId="6" xfId="0" applyNumberFormat="1" applyFont="1" applyFill="1" applyBorder="1" applyAlignment="1">
      <x:alignment horizontal="center" wrapText="1"/>
    </x:xf>
    <x:xf numFmtId="0" fontId="18" fillId="4" borderId="5" xfId="0" applyNumberFormat="1" applyFont="1" applyFill="1" applyBorder="1" applyAlignment="1">
      <x:alignment horizontal="center" vertical="center" wrapText="1"/>
    </x:xf>
    <x:xf numFmtId="0" fontId="18" fillId="4" borderId="3" xfId="0" applyNumberFormat="1" applyFont="1" applyFill="1" applyBorder="1" applyAlignment="1">
      <x:alignment horizontal="center" vertical="center" wrapText="1"/>
    </x:xf>
    <x:xf numFmtId="0" fontId="18" fillId="4" borderId="6" xfId="0" applyNumberFormat="1" applyFont="1" applyFill="1" applyBorder="1" applyAlignment="1">
      <x:alignment horizontal="center" vertical="center" wrapText="1"/>
    </x:xf>
    <x:xf numFmtId="0" fontId="19" fillId="0" borderId="0" xfId="0" applyNumberFormat="1" applyFont="1" applyFill="1" applyBorder="1"/>
    <x:xf numFmtId="0" fontId="19" fillId="0" borderId="2" xfId="0" applyNumberFormat="1" applyFont="1" applyFill="1" applyBorder="1"/>
    <x:xf numFmtId="0" fontId="19" fillId="0" borderId="3" xfId="0" applyNumberFormat="1" applyFont="1" applyFill="1" applyBorder="1"/>
    <x:xf numFmtId="0" fontId="19" fillId="0" borderId="4" xfId="0" applyNumberFormat="1" applyFont="1" applyFill="1" applyBorder="1"/>
    <x:xf numFmtId="0" fontId="19" fillId="0" borderId="2" xfId="0" applyNumberFormat="1" applyFont="1" applyFill="1" applyBorder="1" applyAlignment="1">
      <x:alignment wrapText="1"/>
    </x:xf>
    <x:xf numFmtId="0" fontId="19" fillId="0" borderId="3" xfId="0" applyNumberFormat="1" applyFont="1" applyFill="1" applyBorder="1" applyAlignment="1">
      <x:alignment wrapText="1"/>
    </x:xf>
    <x:xf numFmtId="0" fontId="19" fillId="0" borderId="4" xfId="0" applyNumberFormat="1" applyFont="1" applyFill="1" applyBorder="1" applyAlignment="1">
      <x:alignment wrapText="1"/>
    </x:xf>
    <x:xf numFmtId="0" fontId="19" fillId="0" borderId="2" xfId="0" applyNumberFormat="1" applyFont="1" applyFill="1" applyBorder="1" applyAlignment="1">
      <x:alignment vertical="top" wrapText="1"/>
    </x:xf>
    <x:xf numFmtId="0" fontId="19" fillId="0" borderId="3" xfId="0" applyNumberFormat="1" applyFont="1" applyFill="1" applyBorder="1" applyAlignment="1">
      <x:alignment vertical="top" wrapText="1"/>
    </x:xf>
    <x:xf numFmtId="0" fontId="19" fillId="0" borderId="4" xfId="0" applyNumberFormat="1" applyFont="1" applyFill="1" applyBorder="1" applyAlignment="1">
      <x:alignment vertical="top" wrapText="1"/>
    </x:xf>
    <x:xf numFmtId="0" fontId="19" fillId="0" borderId="2" xfId="0" applyNumberFormat="1" applyFont="1" applyFill="1" applyBorder="1" applyAlignment="1">
      <x:alignment horizontal="center" vertical="top" wrapText="1"/>
    </x:xf>
    <x:xf numFmtId="0" fontId="19" fillId="0" borderId="3" xfId="0" applyNumberFormat="1" applyFont="1" applyFill="1" applyBorder="1" applyAlignment="1">
      <x:alignment horizontal="center" vertical="top" wrapText="1"/>
    </x:xf>
    <x:xf numFmtId="0" fontId="19" fillId="0" borderId="4" xfId="0" applyNumberFormat="1" applyFont="1" applyFill="1" applyBorder="1" applyAlignment="1">
      <x:alignment horizontal="center" vertical="top" wrapText="1"/>
    </x:xf>
    <x:xf numFmtId="201" fontId="19" fillId="0" borderId="2" xfId="0" applyNumberFormat="1" applyFont="1" applyFill="1" applyBorder="1" applyAlignment="1">
      <x:alignment horizontal="center" vertical="top" wrapText="1"/>
    </x:xf>
    <x:xf numFmtId="201" fontId="19" fillId="0" borderId="3" xfId="0" applyNumberFormat="1" applyFont="1" applyFill="1" applyBorder="1" applyAlignment="1">
      <x:alignment horizontal="center" vertical="top" wrapText="1"/>
    </x:xf>
    <x:xf numFmtId="201" fontId="19" fillId="0" borderId="4" xfId="0" applyNumberFormat="1" applyFont="1" applyFill="1" applyBorder="1" applyAlignment="1">
      <x:alignment horizontal="center" vertical="top" wrapText="1"/>
    </x:xf>
    <x:xf numFmtId="0" fontId="20" fillId="0" borderId="0" xfId="0" applyNumberFormat="1" applyFont="1" applyFill="1" applyBorder="1"/>
    <x:xf numFmtId="0" fontId="20" fillId="0" borderId="2" xfId="0" applyNumberFormat="1" applyFont="1" applyFill="1" applyBorder="1"/>
    <x:xf numFmtId="0" fontId="20" fillId="0" borderId="3" xfId="0" applyNumberFormat="1" applyFont="1" applyFill="1" applyBorder="1"/>
    <x:xf numFmtId="0" fontId="20" fillId="0" borderId="4" xfId="0" applyNumberFormat="1" applyFont="1" applyFill="1" applyBorder="1"/>
    <x:xf numFmtId="0" fontId="20" fillId="0" borderId="2" xfId="0" applyNumberFormat="1" applyFont="1" applyFill="1" applyBorder="1" applyAlignment="1">
      <x:alignment wrapText="1"/>
    </x:xf>
    <x:xf numFmtId="0" fontId="20" fillId="0" borderId="3" xfId="0" applyNumberFormat="1" applyFont="1" applyFill="1" applyBorder="1" applyAlignment="1">
      <x:alignment wrapText="1"/>
    </x:xf>
    <x:xf numFmtId="0" fontId="20" fillId="0" borderId="4" xfId="0" applyNumberFormat="1" applyFont="1" applyFill="1" applyBorder="1" applyAlignment="1">
      <x:alignment wrapText="1"/>
    </x:xf>
    <x:xf numFmtId="0" fontId="20" fillId="0" borderId="2" xfId="0" applyNumberFormat="1" applyFont="1" applyFill="1" applyBorder="1" applyAlignment="1">
      <x:alignment vertical="center" wrapText="1"/>
    </x:xf>
    <x:xf numFmtId="0" fontId="20" fillId="0" borderId="3" xfId="0" applyNumberFormat="1" applyFont="1" applyFill="1" applyBorder="1" applyAlignment="1">
      <x:alignment vertical="center" wrapText="1"/>
    </x:xf>
    <x:xf numFmtId="0" fontId="20" fillId="0" borderId="4" xfId="0" applyNumberFormat="1" applyFont="1" applyFill="1" applyBorder="1" applyAlignment="1">
      <x:alignment vertical="center" wrapText="1"/>
    </x:xf>
    <x:xf numFmtId="0" fontId="20" fillId="9" borderId="2" xfId="0" applyNumberFormat="1" applyFont="1" applyFill="1" applyBorder="1" applyAlignment="1">
      <x:alignment vertical="center" wrapText="1"/>
    </x:xf>
    <x:xf numFmtId="0" fontId="20" fillId="9" borderId="3" xfId="0" applyNumberFormat="1" applyFont="1" applyFill="1" applyBorder="1" applyAlignment="1">
      <x:alignment vertical="center" wrapText="1"/>
    </x:xf>
    <x:xf numFmtId="0" fontId="20" fillId="9" borderId="4" xfId="0" applyNumberFormat="1" applyFont="1" applyFill="1" applyBorder="1" applyAlignment="1">
      <x:alignment vertical="center" wrapText="1"/>
    </x:xf>
    <x:xf numFmtId="0" fontId="21" fillId="9" borderId="2" xfId="0" applyNumberFormat="1" applyFont="1" applyFill="1" applyBorder="1" applyAlignment="1">
      <x:alignment vertical="center" wrapText="1"/>
    </x:xf>
    <x:xf numFmtId="0" fontId="21" fillId="9" borderId="3" xfId="0" applyNumberFormat="1" applyFont="1" applyFill="1" applyBorder="1" applyAlignment="1">
      <x:alignment vertical="center" wrapText="1"/>
    </x:xf>
    <x:xf numFmtId="0" fontId="21" fillId="9" borderId="4" xfId="0" applyNumberFormat="1" applyFont="1" applyFill="1" applyBorder="1" applyAlignment="1">
      <x:alignment vertical="center" wrapText="1"/>
    </x:xf>
    <x:xf numFmtId="0" fontId="21" fillId="9" borderId="7" xfId="0" applyNumberFormat="1" applyFont="1" applyFill="1" applyBorder="1" applyAlignment="1">
      <x:alignment vertical="center" wrapText="1"/>
    </x:xf>
    <x:xf numFmtId="0" fontId="21" fillId="9" borderId="8" xfId="0" applyNumberFormat="1" applyFont="1" applyFill="1" applyBorder="1" applyAlignment="1">
      <x:alignment vertical="center" wrapText="1"/>
    </x:xf>
    <x:xf numFmtId="0" fontId="21" fillId="9" borderId="9" xfId="0" applyNumberFormat="1" applyFont="1" applyFill="1" applyBorder="1" applyAlignment="1">
      <x:alignment vertical="center" wrapText="1"/>
    </x:xf>
    <x:xf numFmtId="0" fontId="20" fillId="0" borderId="2" xfId="0" applyNumberFormat="1" applyFont="1" applyFill="1" applyBorder="1" applyAlignment="1">
      <x:alignment horizontal="center" vertical="center" wrapText="1"/>
    </x:xf>
    <x:xf numFmtId="0" fontId="20" fillId="0" borderId="3" xfId="0" applyNumberFormat="1" applyFont="1" applyFill="1" applyBorder="1" applyAlignment="1">
      <x:alignment horizontal="center" vertical="center" wrapText="1"/>
    </x:xf>
    <x:xf numFmtId="0" fontId="20" fillId="0" borderId="4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22" fillId="10" borderId="0" xfId="0" applyNumberFormat="1" applyFont="1" applyFill="1" applyBorder="1"/>
    <x:xf numFmtId="0" fontId="22" fillId="10" borderId="10" xfId="0" applyNumberFormat="1" applyFont="1" applyFill="1" applyBorder="1"/>
    <x:xf numFmtId="0" fontId="22" fillId="10" borderId="11" xfId="0" applyNumberFormat="1" applyFont="1" applyFill="1" applyBorder="1"/>
    <x:xf numFmtId="0" fontId="22" fillId="10" borderId="12" xfId="0" applyNumberFormat="1" applyFont="1" applyFill="1" applyBorder="1"/>
    <x:xf numFmtId="0" fontId="22" fillId="10" borderId="13" xfId="0" applyNumberFormat="1" applyFont="1" applyFill="1" applyBorder="1"/>
    <x:xf numFmtId="0" fontId="22" fillId="10" borderId="14" xfId="0" applyNumberFormat="1" applyFont="1" applyFill="1" applyBorder="1"/>
    <x:xf numFmtId="0" fontId="22" fillId="10" borderId="15" xfId="0" applyNumberFormat="1" applyFont="1" applyFill="1" applyBorder="1"/>
    <x:xf numFmtId="0" fontId="22" fillId="10" borderId="16" xfId="0" applyNumberFormat="1" applyFont="1" applyFill="1" applyBorder="1"/>
    <x:xf numFmtId="0" fontId="22" fillId="10" borderId="17" xfId="0" applyNumberFormat="1" applyFont="1" applyFill="1" applyBorder="1"/>
    <x:xf numFmtId="0" fontId="22" fillId="10" borderId="10" xfId="0" applyNumberFormat="1" applyFont="1" applyFill="1" applyBorder="1" applyAlignment="1">
      <x:alignment wrapText="1"/>
    </x:xf>
    <x:xf numFmtId="0" fontId="22" fillId="10" borderId="11" xfId="0" applyNumberFormat="1" applyFont="1" applyFill="1" applyBorder="1" applyAlignment="1">
      <x:alignment wrapText="1"/>
    </x:xf>
    <x:xf numFmtId="0" fontId="22" fillId="10" borderId="12" xfId="0" applyNumberFormat="1" applyFont="1" applyFill="1" applyBorder="1" applyAlignment="1">
      <x:alignment wrapText="1"/>
    </x:xf>
    <x:xf numFmtId="0" fontId="22" fillId="10" borderId="13" xfId="0" applyNumberFormat="1" applyFont="1" applyFill="1" applyBorder="1" applyAlignment="1">
      <x:alignment wrapText="1"/>
    </x:xf>
    <x:xf numFmtId="0" fontId="22" fillId="10" borderId="0" xfId="0" applyNumberFormat="1" applyFont="1" applyFill="1" applyBorder="1" applyAlignment="1">
      <x:alignment wrapText="1"/>
    </x:xf>
    <x:xf numFmtId="0" fontId="22" fillId="10" borderId="14" xfId="0" applyNumberFormat="1" applyFont="1" applyFill="1" applyBorder="1" applyAlignment="1">
      <x:alignment wrapText="1"/>
    </x:xf>
    <x:xf numFmtId="0" fontId="22" fillId="10" borderId="15" xfId="0" applyNumberFormat="1" applyFont="1" applyFill="1" applyBorder="1" applyAlignment="1">
      <x:alignment wrapText="1"/>
    </x:xf>
    <x:xf numFmtId="0" fontId="22" fillId="10" borderId="16" xfId="0" applyNumberFormat="1" applyFont="1" applyFill="1" applyBorder="1" applyAlignment="1">
      <x:alignment wrapText="1"/>
    </x:xf>
    <x:xf numFmtId="0" fontId="22" fillId="10" borderId="17" xfId="0" applyNumberFormat="1" applyFont="1" applyFill="1" applyBorder="1" applyAlignment="1">
      <x:alignment wrapText="1"/>
    </x:xf>
    <x:xf numFmtId="0" fontId="22" fillId="10" borderId="10" xfId="0" applyNumberFormat="1" applyFont="1" applyFill="1" applyBorder="1" applyAlignment="1">
      <x:alignment horizontal="center" wrapText="1"/>
    </x:xf>
    <x:xf numFmtId="0" fontId="22" fillId="10" borderId="11" xfId="0" applyNumberFormat="1" applyFont="1" applyFill="1" applyBorder="1" applyAlignment="1">
      <x:alignment horizontal="center" wrapText="1"/>
    </x:xf>
    <x:xf numFmtId="0" fontId="22" fillId="10" borderId="12" xfId="0" applyNumberFormat="1" applyFont="1" applyFill="1" applyBorder="1" applyAlignment="1">
      <x:alignment horizontal="center" wrapText="1"/>
    </x:xf>
    <x:xf numFmtId="0" fontId="22" fillId="10" borderId="13" xfId="0" applyNumberFormat="1" applyFont="1" applyFill="1" applyBorder="1" applyAlignment="1">
      <x:alignment horizontal="center" wrapText="1"/>
    </x:xf>
    <x:xf numFmtId="0" fontId="22" fillId="10" borderId="0" xfId="0" applyNumberFormat="1" applyFont="1" applyFill="1" applyBorder="1" applyAlignment="1">
      <x:alignment horizontal="center" wrapText="1"/>
    </x:xf>
    <x:xf numFmtId="0" fontId="22" fillId="10" borderId="14" xfId="0" applyNumberFormat="1" applyFont="1" applyFill="1" applyBorder="1" applyAlignment="1">
      <x:alignment horizontal="center" wrapText="1"/>
    </x:xf>
    <x:xf numFmtId="0" fontId="22" fillId="10" borderId="15" xfId="0" applyNumberFormat="1" applyFont="1" applyFill="1" applyBorder="1" applyAlignment="1">
      <x:alignment horizontal="center" wrapText="1"/>
    </x:xf>
    <x:xf numFmtId="0" fontId="22" fillId="10" borderId="16" xfId="0" applyNumberFormat="1" applyFont="1" applyFill="1" applyBorder="1" applyAlignment="1">
      <x:alignment horizontal="center" wrapText="1"/>
    </x:xf>
    <x:xf numFmtId="0" fontId="22" fillId="10" borderId="17" xfId="0" applyNumberFormat="1" applyFont="1" applyFill="1" applyBorder="1" applyAlignment="1">
      <x:alignment horizontal="center" wrapText="1"/>
    </x:xf>
    <x:xf numFmtId="0" fontId="22" fillId="10" borderId="10" xfId="0" applyNumberFormat="1" applyFont="1" applyFill="1" applyBorder="1" applyAlignment="1">
      <x:alignment horizontal="center" vertical="center" wrapText="1"/>
    </x:xf>
    <x:xf numFmtId="0" fontId="22" fillId="10" borderId="11" xfId="0" applyNumberFormat="1" applyFont="1" applyFill="1" applyBorder="1" applyAlignment="1">
      <x:alignment horizontal="center" vertical="center" wrapText="1"/>
    </x:xf>
    <x:xf numFmtId="0" fontId="22" fillId="10" borderId="12" xfId="0" applyNumberFormat="1" applyFont="1" applyFill="1" applyBorder="1" applyAlignment="1">
      <x:alignment horizontal="center" vertical="center" wrapText="1"/>
    </x:xf>
    <x:xf numFmtId="0" fontId="22" fillId="10" borderId="13" xfId="0" applyNumberFormat="1" applyFont="1" applyFill="1" applyBorder="1" applyAlignment="1">
      <x:alignment horizontal="center" vertical="center" wrapText="1"/>
    </x:xf>
    <x:xf numFmtId="0" fontId="22" fillId="10" borderId="0" xfId="0" applyNumberFormat="1" applyFont="1" applyFill="1" applyBorder="1" applyAlignment="1">
      <x:alignment horizontal="center" vertical="center" wrapText="1"/>
    </x:xf>
    <x:xf numFmtId="0" fontId="22" fillId="10" borderId="14" xfId="0" applyNumberFormat="1" applyFont="1" applyFill="1" applyBorder="1" applyAlignment="1">
      <x:alignment horizontal="center" vertical="center" wrapText="1"/>
    </x:xf>
    <x:xf numFmtId="0" fontId="22" fillId="10" borderId="15" xfId="0" applyNumberFormat="1" applyFont="1" applyFill="1" applyBorder="1" applyAlignment="1">
      <x:alignment horizontal="center" vertical="center" wrapText="1"/>
    </x:xf>
    <x:xf numFmtId="0" fontId="22" fillId="10" borderId="16" xfId="0" applyNumberFormat="1" applyFont="1" applyFill="1" applyBorder="1" applyAlignment="1">
      <x:alignment horizontal="center" vertical="center" wrapText="1"/>
    </x:xf>
    <x:xf numFmtId="0" fontId="22" fillId="10" borderId="17" xfId="0" applyNumberFormat="1" applyFont="1" applyFill="1" applyBorder="1" applyAlignment="1">
      <x:alignment horizontal="center" vertical="center" wrapText="1"/>
    </x:xf>
    <x:xf numFmtId="0" fontId="23" fillId="2" borderId="0" xfId="0" applyNumberFormat="1" applyFont="1" applyFill="1" applyBorder="1" applyAlignment="1">
      <x:alignment horizontal="left" vertical="center"/>
    </x:xf>
    <x:xf numFmtId="0" fontId="24" fillId="3" borderId="0" xfId="0" applyNumberFormat="1" applyFont="1" applyFill="1" applyBorder="1" applyAlignment="1">
      <x:alignment vertical="center"/>
    </x:xf>
    <x:xf numFmtId="0" fontId="25" fillId="4" borderId="5" xfId="0" applyNumberFormat="1" applyFont="1" applyFill="1" applyBorder="1" applyAlignment="1">
      <x:alignment horizontal="center" vertical="center" wrapText="1"/>
    </x:xf>
    <x:xf numFmtId="0" fontId="25" fillId="4" borderId="3" xfId="0" applyNumberFormat="1" applyFont="1" applyFill="1" applyBorder="1" applyAlignment="1">
      <x:alignment horizontal="center" vertical="center" wrapText="1"/>
    </x:xf>
    <x:xf numFmtId="0" fontId="25" fillId="4" borderId="6" xfId="0" applyNumberFormat="1" applyFont="1" applyFill="1" applyBorder="1" applyAlignment="1">
      <x:alignment horizontal="center" vertical="center" wrapText="1"/>
    </x:xf>
    <x:xf numFmtId="0" fontId="26" fillId="10" borderId="10" xfId="0" applyNumberFormat="1" applyFont="1" applyFill="1" applyBorder="1" applyAlignment="1">
      <x:alignment horizontal="center" vertical="center" wrapText="1"/>
    </x:xf>
    <x:xf numFmtId="0" fontId="26" fillId="10" borderId="11" xfId="0" applyNumberFormat="1" applyFont="1" applyFill="1" applyBorder="1" applyAlignment="1">
      <x:alignment horizontal="center" vertical="center" wrapText="1"/>
    </x:xf>
    <x:xf numFmtId="0" fontId="26" fillId="10" borderId="12" xfId="0" applyNumberFormat="1" applyFont="1" applyFill="1" applyBorder="1" applyAlignment="1">
      <x:alignment horizontal="center" vertical="center" wrapText="1"/>
    </x:xf>
    <x:xf numFmtId="0" fontId="26" fillId="10" borderId="13" xfId="0" applyNumberFormat="1" applyFont="1" applyFill="1" applyBorder="1" applyAlignment="1">
      <x:alignment horizontal="center" vertical="center" wrapText="1"/>
    </x:xf>
    <x:xf numFmtId="0" fontId="26" fillId="10" borderId="0" xfId="0" applyNumberFormat="1" applyFont="1" applyFill="1" applyBorder="1" applyAlignment="1">
      <x:alignment horizontal="center" vertical="center" wrapText="1"/>
    </x:xf>
    <x:xf numFmtId="0" fontId="26" fillId="10" borderId="14" xfId="0" applyNumberFormat="1" applyFont="1" applyFill="1" applyBorder="1" applyAlignment="1">
      <x:alignment horizontal="center" vertical="center" wrapText="1"/>
    </x:xf>
    <x:xf numFmtId="0" fontId="26" fillId="10" borderId="15" xfId="0" applyNumberFormat="1" applyFont="1" applyFill="1" applyBorder="1" applyAlignment="1">
      <x:alignment horizontal="center" vertical="center" wrapText="1"/>
    </x:xf>
    <x:xf numFmtId="0" fontId="26" fillId="10" borderId="16" xfId="0" applyNumberFormat="1" applyFont="1" applyFill="1" applyBorder="1" applyAlignment="1">
      <x:alignment horizontal="center" vertical="center" wrapText="1"/>
    </x:xf>
    <x:xf numFmtId="0" fontId="26" fillId="10" borderId="17" xfId="0" applyNumberFormat="1" applyFont="1" applyFill="1" applyBorder="1" applyAlignment="1">
      <x:alignment horizontal="center" vertical="center" wrapText="1"/>
    </x:xf>
    <x:xf numFmtId="0" fontId="20" fillId="6" borderId="2" xfId="0" applyNumberFormat="1" applyFont="1" applyFill="1" applyBorder="1" applyAlignment="1">
      <x:alignment vertical="center" wrapText="1"/>
    </x:xf>
    <x:xf numFmtId="0" fontId="20" fillId="6" borderId="3" xfId="0" applyNumberFormat="1" applyFont="1" applyFill="1" applyBorder="1" applyAlignment="1">
      <x:alignment vertical="center" wrapText="1"/>
    </x:xf>
    <x:xf numFmtId="0" fontId="20" fillId="6" borderId="4" xfId="0" applyNumberFormat="1" applyFont="1" applyFill="1" applyBorder="1" applyAlignment="1">
      <x:alignment vertical="center" wrapText="1"/>
    </x:xf>
    <x:xf numFmtId="0" fontId="27" fillId="6" borderId="2" xfId="0" applyNumberFormat="1" applyFont="1" applyFill="1" applyBorder="1" applyAlignment="1">
      <x:alignment vertical="center" wrapText="1"/>
    </x:xf>
    <x:xf numFmtId="0" fontId="27" fillId="6" borderId="3" xfId="0" applyNumberFormat="1" applyFont="1" applyFill="1" applyBorder="1" applyAlignment="1">
      <x:alignment vertical="center" wrapText="1"/>
    </x:xf>
    <x:xf numFmtId="0" fontId="27" fillId="6" borderId="4" xfId="0" applyNumberFormat="1" applyFont="1" applyFill="1" applyBorder="1" applyAlignment="1">
      <x:alignment vertical="center" wrapText="1"/>
    </x:xf>
    <x:xf numFmtId="0" fontId="27" fillId="6" borderId="2" xfId="0" applyNumberFormat="1" applyFont="1" applyFill="1" applyBorder="1" applyAlignment="1">
      <x:alignment horizontal="center" vertical="center" wrapText="1"/>
    </x:xf>
    <x:xf numFmtId="0" fontId="27" fillId="6" borderId="3" xfId="0" applyNumberFormat="1" applyFont="1" applyFill="1" applyBorder="1" applyAlignment="1">
      <x:alignment horizontal="center" vertical="center" wrapText="1"/>
    </x:xf>
    <x:xf numFmtId="0" fontId="27" fillId="6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color rgb="FF176B45"/>
      </x:font>
      <x:fill>
        <x:patternFill patternType="solid">
          <x:bgColor rgb="FFDCF3E7"/>
        </x:patternFill>
      </x:fill>
    </x:dxf>
    <x:dxf>
      <x:font>
        <x:color rgb="FF174D7A"/>
      </x:font>
      <x:fill>
        <x:patternFill patternType="solid">
          <x:bgColor rgb="FFEAF2F8"/>
        </x:patternFill>
      </x:fill>
    </x:dxf>
    <x:dxf>
      <x:font>
        <x:color rgb="FF8A6200"/>
      </x:font>
      <x:fill>
        <x:patternFill patternType="solid">
          <x:bgColor rgb="FFFFF5D6"/>
        </x:patternFill>
      </x:fill>
    </x:dxf>
    <x:dxf>
      <x:font>
        <x:b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88eb3a050f41af" /><Relationship Type="http://schemas.openxmlformats.org/officeDocument/2006/relationships/theme" Target="/xl/theme/theme1.xml" Id="R38b8907cef584f76" /><Relationship Type="http://schemas.openxmlformats.org/officeDocument/2006/relationships/sharedStrings" Target="/xl/sharedStrings.xml" Id="R55591fe0b704413e" /><Relationship Type="http://schemas.openxmlformats.org/officeDocument/2006/relationships/worksheet" Target="/xl/worksheets/sheet1.xml" Id="Rbea47512f941475f" /><Relationship Type="http://schemas.openxmlformats.org/officeDocument/2006/relationships/worksheet" Target="/xl/worksheets/sheet2.xml" Id="Ra9220ad648034fe6" /><Relationship Type="http://schemas.openxmlformats.org/officeDocument/2006/relationships/worksheet" Target="/xl/worksheets/sheet3.xml" Id="Rf7408f4c11d449c5" /><Relationship Type="http://schemas.openxmlformats.org/officeDocument/2006/relationships/worksheet" Target="/xl/worksheets/sheet4.xml" Id="R48c49b78d4f14913" /></Relationships>
</file>

<file path=xl/tables/table1.xml><?xml version="1.0" encoding="utf-8"?>
<x:table xmlns:x="http://schemas.openxmlformats.org/spreadsheetml/2006/main" id="1" name="PaymentReadinessTasks" displayName="PaymentReadinessTasks" ref="A5:L30" headerRowCount="1" totalsRowCount="0" totalsRowShown="0">
  <x:autoFilter ref="A5:L30"/>
  <x:tableColumns count="12">
    <x:tableColumn id="1" name="序号"/>
    <x:tableColumn id="2" name="类别"/>
    <x:tableColumn id="3" name="优先级"/>
    <x:tableColumn id="4" name="何时做"/>
    <x:tableColumn id="5" name="事项"/>
    <x:tableColumn id="6" name="你要做什么"/>
    <x:tableColumn id="7" name="官方入口 / 网址"/>
    <x:tableColumn id="8" name="完成标准"/>
    <x:tableColumn id="9" name="完成后告诉我的信息"/>
    <x:tableColumn id="10" name="状态"/>
    <x:tableColumn id="11" name="完成日期"/>
    <x:tableColumn id="12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995b2c5a9348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59" t="str">
        <x:v>广州中考付费网站｜用户办理清单</x:v>
      </x:c>
      <x:c r="B1" s="59"/>
      <x:c r="C1" s="59"/>
      <x:c r="D1" s="59"/>
      <x:c r="E1" s="59"/>
      <x:c r="F1" s="59"/>
      <x:c r="G1" s="59"/>
      <x:c r="H1" s="59"/>
    </x:row>
    <x:row r="2" ht="32" customHeight="1">
      <x:c r="A2" s="59"/>
      <x:c r="B2" s="59"/>
      <x:c r="C2" s="59"/>
      <x:c r="D2" s="59"/>
      <x:c r="E2" s="59"/>
      <x:c r="F2" s="59"/>
      <x:c r="G2" s="59"/>
      <x:c r="H2" s="59"/>
    </x:row>
    <x:row r="3" ht="32" customHeight="1">
      <x:c r="A3" s="60" t="str">
        <x:v>使用方式：从“办理清单”按序完成；状态改为“已完成”；再把“回传给Codex”页发回来或告诉我非敏感结果。</x:v>
      </x:c>
      <x:c r="B3" s="60"/>
      <x:c r="C3" s="60"/>
      <x:c r="D3" s="60"/>
      <x:c r="E3" s="60"/>
      <x:c r="F3" s="60"/>
      <x:c r="G3" s="60"/>
      <x:c r="H3" s="60"/>
    </x:row>
    <x:row r="4">
      <x:c r="A4" s="61"/>
      <x:c r="B4" s="61"/>
      <x:c r="C4" s="61"/>
      <x:c r="D4" s="61"/>
      <x:c r="E4" s="61"/>
      <x:c r="F4" s="61"/>
      <x:c r="G4" s="61"/>
      <x:c r="H4" s="61"/>
    </x:row>
    <x:row r="5">
      <x:c r="A5" s="62" t="str">
        <x:v>全部事项</x:v>
      </x:c>
      <x:c r="B5" s="62"/>
      <x:c r="C5" s="62" t="str">
        <x:v>已完成</x:v>
      </x:c>
      <x:c r="D5" s="62"/>
      <x:c r="E5" s="62" t="str">
        <x:v>待办理</x:v>
      </x:c>
      <x:c r="F5" s="62"/>
      <x:c r="G5" s="62" t="str">
        <x:v>完成率</x:v>
      </x:c>
      <x:c r="H5" s="62"/>
    </x:row>
    <x:row r="6">
      <x:c r="A6" s="63" t="n">
        <x:f>COUNTA('办理清单'!$A$6:$A$30)</x:f>
        <x:v>25</x:v>
      </x:c>
      <x:c r="B6" s="63"/>
      <x:c r="C6" s="63" t="n">
        <x:f>COUNTIF('办理清单'!$J$6:$J$30,"已完成")</x:f>
        <x:v>0</x:v>
      </x:c>
      <x:c r="D6" s="63"/>
      <x:c r="E6" s="63" t="n">
        <x:f>A6-C6</x:f>
        <x:v>25</x:v>
      </x:c>
      <x:c r="F6" s="63"/>
      <x:c r="G6" s="64" t="n">
        <x:f>IF(A6=0,0,C6/A6)</x:f>
        <x:v>0</x:v>
      </x:c>
      <x:c r="H6" s="64"/>
    </x:row>
    <x:row r="7">
      <x:c r="A7" s="63"/>
      <x:c r="B7" s="63"/>
      <x:c r="C7" s="63"/>
      <x:c r="D7" s="63"/>
      <x:c r="E7" s="63"/>
      <x:c r="F7" s="63"/>
      <x:c r="G7" s="64"/>
      <x:c r="H7" s="64"/>
    </x:row>
    <x:row r="8">
      <x:c r="A8" s="61"/>
      <x:c r="B8" s="61"/>
      <x:c r="C8" s="61"/>
      <x:c r="D8" s="61"/>
      <x:c r="E8" s="61"/>
      <x:c r="F8" s="61"/>
      <x:c r="G8" s="61"/>
      <x:c r="H8" s="61"/>
    </x:row>
    <x:row r="9">
      <x:c r="A9" s="65" t="str">
        <x:v>三条安全红线</x:v>
      </x:c>
      <x:c r="B9" s="65"/>
      <x:c r="C9" s="65"/>
      <x:c r="D9" s="65"/>
      <x:c r="E9" s="65"/>
      <x:c r="F9" s="65"/>
      <x:c r="G9" s="65"/>
      <x:c r="H9" s="65"/>
    </x:row>
    <x:row r="10" ht="30" customHeight="1">
      <x:c r="A10" s="66" t="str">
        <x:v>1</x:v>
      </x:c>
      <x:c r="B10" s="67" t="str">
        <x:v>绝不在本表、聊天、邮件或 Git 仓库填写：商户私钥、APIv3 密钥、AppSecret、AccessKey Secret、公众号 Token、EncodingAESKey。</x:v>
      </x:c>
      <x:c r="C10" s="67"/>
      <x:c r="D10" s="67"/>
      <x:c r="E10" s="67"/>
      <x:c r="F10" s="67"/>
      <x:c r="G10" s="67"/>
      <x:c r="H10" s="67"/>
    </x:row>
    <x:row r="11" ht="30" customHeight="1">
      <x:c r="A11" s="68" t="str">
        <x:v>2</x:v>
      </x:c>
      <x:c r="B11" s="69" t="str">
        <x:v>密钥准备好后只告诉我“已准备”；我会给你安全上传或服务器录入命令。</x:v>
      </x:c>
      <x:c r="C11" s="69"/>
      <x:c r="D11" s="69"/>
      <x:c r="E11" s="69"/>
      <x:c r="F11" s="69"/>
      <x:c r="G11" s="69"/>
      <x:c r="H11" s="69"/>
    </x:row>
    <x:row r="12" ht="30" customHeight="1">
      <x:c r="A12" s="70" t="str">
        <x:v>3</x:v>
      </x:c>
      <x:c r="B12" s="71" t="str">
        <x:v>真实支付验收通过前，网站继续保持 preview，不会误扣款，也不会突然锁住现有工具。</x:v>
      </x:c>
      <x:c r="C12" s="71"/>
      <x:c r="D12" s="71"/>
      <x:c r="E12" s="71"/>
      <x:c r="F12" s="71"/>
      <x:c r="G12" s="71"/>
      <x:c r="H12" s="71"/>
    </x:row>
    <x:row r="13" ht="30" customHeight="1">
      <x:c r="A13" s="61"/>
      <x:c r="B13" s="61"/>
      <x:c r="C13" s="61"/>
      <x:c r="D13" s="61"/>
      <x:c r="E13" s="61"/>
      <x:c r="F13" s="61"/>
      <x:c r="G13" s="61"/>
      <x:c r="H13" s="61"/>
    </x:row>
    <x:row r="14" ht="30" customHeight="1">
      <x:c r="A14" s="72" t="str">
        <x:v>建议顺序</x:v>
      </x:c>
      <x:c r="B14" s="72"/>
      <x:c r="C14" s="72"/>
      <x:c r="D14" s="72"/>
      <x:c r="E14" s="72"/>
      <x:c r="F14" s="72"/>
      <x:c r="G14" s="72"/>
      <x:c r="H14" s="72"/>
    </x:row>
    <x:row r="15" ht="30" customHeight="1">
      <x:c r="A15" s="73" t="str">
        <x:v>第1步</x:v>
      </x:c>
      <x:c r="B15" s="74" t="str">
        <x:v>先完成公众号认证、商户号、JSAPI 权限和 AppID 绑定。</x:v>
      </x:c>
      <x:c r="C15" s="74"/>
      <x:c r="D15" s="74"/>
      <x:c r="E15" s="74"/>
      <x:c r="F15" s="74"/>
      <x:c r="G15" s="74"/>
      <x:c r="H15" s="74"/>
    </x:row>
    <x:row r="16" ht="30" customHeight="1">
      <x:c r="A16" s="75" t="str">
        <x:v>第2步</x:v>
      </x:c>
      <x:c r="B16" s="76" t="str">
        <x:v>再准备微信证书/APIv3、公钥，以及阿里云短信资质、签名和模板。</x:v>
      </x:c>
      <x:c r="C16" s="76"/>
      <x:c r="D16" s="76"/>
      <x:c r="E16" s="76"/>
      <x:c r="F16" s="76"/>
      <x:c r="G16" s="76"/>
      <x:c r="H16" s="76"/>
    </x:row>
    <x:row r="17" ht="30" customHeight="1">
      <x:c r="A17" s="75" t="str">
        <x:v>第3步</x:v>
      </x:c>
      <x:c r="B17" s="76" t="str">
        <x:v>确认权益、退款、隐私和客服规则；把非敏感结果填到“回传给Codex”。</x:v>
      </x:c>
      <x:c r="C17" s="76"/>
      <x:c r="D17" s="76"/>
      <x:c r="E17" s="76"/>
      <x:c r="F17" s="76"/>
      <x:c r="G17" s="76"/>
      <x:c r="H17" s="76"/>
    </x:row>
    <x:row r="18" ht="30" customHeight="1">
      <x:c r="A18" s="77" t="str">
        <x:v>第4步</x:v>
      </x:c>
      <x:c r="B18" s="78" t="str">
        <x:v>我接入并测试；你最后安排一笔 9.99 元真实支付和退款验收。</x:v>
      </x:c>
      <x:c r="C18" s="78"/>
      <x:c r="D18" s="78"/>
      <x:c r="E18" s="78"/>
      <x:c r="F18" s="78"/>
      <x:c r="G18" s="78"/>
      <x:c r="H18" s="78"/>
    </x:row>
  </x:sheetData>
  <x:mergeCells>
    <x:mergeCell ref="A1:H2"/>
    <x:mergeCell ref="A3:H3"/>
    <x:mergeCell ref="A5:B5"/>
    <x:mergeCell ref="C5:D5"/>
    <x:mergeCell ref="E5:F5"/>
    <x:mergeCell ref="G5:H5"/>
    <x:mergeCell ref="A6:B7"/>
    <x:mergeCell ref="C6:D7"/>
    <x:mergeCell ref="E6:F7"/>
    <x:mergeCell ref="G6:H7"/>
    <x:mergeCell ref="A9:H9"/>
    <x:mergeCell ref="B10:H10"/>
    <x:mergeCell ref="B11:H11"/>
    <x:mergeCell ref="B12:H12"/>
    <x:mergeCell ref="A14:H14"/>
    <x:mergeCell ref="B15:H15"/>
    <x:mergeCell ref="B16:H16"/>
    <x:mergeCell ref="B17:H17"/>
    <x:mergeCell ref="B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3" hidden="0" customWidth="1"/>
    <x:col min="3" max="3" width="8" hidden="0" customWidth="1"/>
    <x:col min="4" max="4" width="10" hidden="0" customWidth="1"/>
    <x:col min="5" max="5" width="24" hidden="0" customWidth="1"/>
    <x:col min="6" max="6" width="42" hidden="0" customWidth="1"/>
    <x:col min="7" max="7" width="45" hidden="0" customWidth="1"/>
    <x:col min="8" max="8" width="30" hidden="0" customWidth="1"/>
    <x:col min="9" max="9" width="32" hidden="0" customWidth="1"/>
    <x:col min="10" max="10" width="12" hidden="0" customWidth="1"/>
    <x:col min="11" max="11" width="13" hidden="0" customWidth="1"/>
    <x:col min="12" max="12" width="27" hidden="0" customWidth="1"/>
  </x:cols>
  <x:sheetData>
    <x:row r="1" ht="34" customHeight="1">
      <x:c r="A1" s="81" t="str">
        <x:v>你需要完成的事项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</x:row>
    <x:row r="2" ht="30" customHeight="1">
      <x:c r="A2" s="83" t="str">
        <x:v>状态列可下拉选择。优先处理 P0；“等我通知”的两项暂时不要配置。</x:v>
      </x:c>
      <x:c r="B2" s="83"/>
      <x:c r="C2" s="83"/>
      <x:c r="D2" s="83"/>
      <x:c r="E2" s="83"/>
      <x:c r="F2" s="83"/>
      <x:c r="G2" s="83"/>
      <x:c r="H2" s="83"/>
      <x:c r="I2" s="83"/>
      <x:c r="J2" s="83"/>
      <x:c r="K2" s="83"/>
      <x:c r="L2" s="83"/>
    </x:row>
    <x:row r="5" ht="35" customHeight="1">
      <x:c r="A5" s="94" t="str">
        <x:v>序号</x:v>
      </x:c>
      <x:c r="B5" s="95" t="str">
        <x:v>类别</x:v>
      </x:c>
      <x:c r="C5" s="95" t="str">
        <x:v>优先级</x:v>
      </x:c>
      <x:c r="D5" s="95" t="str">
        <x:v>何时做</x:v>
      </x:c>
      <x:c r="E5" s="95" t="str">
        <x:v>事项</x:v>
      </x:c>
      <x:c r="F5" s="95" t="str">
        <x:v>你要做什么</x:v>
      </x:c>
      <x:c r="G5" s="95" t="str">
        <x:v>官方入口 / 网址</x:v>
      </x:c>
      <x:c r="H5" s="95" t="str">
        <x:v>完成标准</x:v>
      </x:c>
      <x:c r="I5" s="95" t="str">
        <x:v>完成后告诉我的信息</x:v>
      </x:c>
      <x:c r="J5" s="95" t="str">
        <x:v>状态</x:v>
      </x:c>
      <x:c r="K5" s="95" t="str">
        <x:v>完成日期</x:v>
      </x:c>
      <x:c r="L5" s="96" t="str">
        <x:v>备注</x:v>
      </x:c>
    </x:row>
    <x:row r="6" ht="68" customHeight="1">
      <x:c r="A6" s="107" t="n">
        <x:v>1</x:v>
      </x:c>
      <x:c r="B6" s="107" t="str">
        <x:v>微信公众平台</x:v>
      </x:c>
      <x:c r="C6" s="107" t="str">
        <x:v>P0</x:v>
      </x:c>
      <x:c r="D6" s="107" t="str">
        <x:v>现在</x:v>
      </x:c>
      <x:c r="E6" s="104" t="str">
        <x:v>确认公众号类型</x:v>
      </x:c>
      <x:c r="F6" s="104" t="str">
        <x:v>确认“品沐咨询”是已认证服务号，或属于微信文档列明可申请 JSAPI 支付的账号类型。</x:v>
      </x:c>
      <x:c r="G6" s="104" t="str">
        <x:v>https://pay.wechatpay.cn/doc/v3/merchant/4015423216</x:v>
      </x:c>
      <x:c r="H6" s="104" t="str">
        <x:v>公众号类型明确，后台显示认证有效。</x:v>
      </x:c>
      <x:c r="I6" s="104" t="str">
        <x:v>只告诉我：账号类型、是否已认证。</x:v>
      </x:c>
      <x:c r="J6" s="107" t="str">
        <x:v>未开始</x:v>
      </x:c>
      <x:c r="K6" s="110"/>
      <x:c r="L6" s="104" t="str">
        <x:v>JSAPI 支付的首要前置条件。</x:v>
      </x:c>
    </x:row>
    <x:row r="7" ht="68" customHeight="1">
      <x:c r="A7" s="108" t="n">
        <x:v>2</x:v>
      </x:c>
      <x:c r="B7" s="108" t="str">
        <x:v>微信公众平台</x:v>
      </x:c>
      <x:c r="C7" s="108" t="str">
        <x:v>P0</x:v>
      </x:c>
      <x:c r="D7" s="108" t="str">
        <x:v>现在</x:v>
      </x:c>
      <x:c r="E7" s="105" t="str">
        <x:v>完成公众号认证</x:v>
      </x:c>
      <x:c r="F7" s="105" t="str">
        <x:v>如果尚未认证，在微信公众平台提交认证；已认证则核对认证主体与微信支付商户主体。</x:v>
      </x:c>
      <x:c r="G7" s="105" t="str">
        <x:v>https://mp.weixin.qq.com/</x:v>
      </x:c>
      <x:c r="H7" s="105" t="str">
        <x:v>认证状态为有效，主体信息可用于支付申请。</x:v>
      </x:c>
      <x:c r="I7" s="105" t="str">
        <x:v>只告诉我：已认证/待审核/主体不一致。</x:v>
      </x:c>
      <x:c r="J7" s="108" t="str">
        <x:v>未开始</x:v>
      </x:c>
      <x:c r="K7" s="111"/>
      <x:c r="L7" s="105" t="str">
        <x:v>不要发送管理员密码。</x:v>
      </x:c>
    </x:row>
    <x:row r="8" ht="68" customHeight="1">
      <x:c r="A8" s="108" t="n">
        <x:v>3</x:v>
      </x:c>
      <x:c r="B8" s="108" t="str">
        <x:v>微信支付</x:v>
      </x:c>
      <x:c r="C8" s="108" t="str">
        <x:v>P0</x:v>
      </x:c>
      <x:c r="D8" s="108" t="str">
        <x:v>现在</x:v>
      </x:c>
      <x:c r="E8" s="105" t="str">
        <x:v>申请或确认微信支付商户号</x:v>
      </x:c>
      <x:c r="F8" s="105" t="str">
        <x:v>登录微信支付商户平台；没有商户号则申请，有则确认超级管理员可正常登录。</x:v>
      </x:c>
      <x:c r="G8" s="105" t="str">
        <x:v>https://pay.weixin.qq.com/</x:v>
      </x:c>
      <x:c r="H8" s="105" t="str">
        <x:v>取得可用商户号，商户主体审核通过。</x:v>
      </x:c>
      <x:c r="I8" s="105" t="str">
        <x:v>可填写商户号 MchID；它不是密钥。</x:v>
      </x:c>
      <x:c r="J8" s="108" t="str">
        <x:v>未开始</x:v>
      </x:c>
      <x:c r="K8" s="111"/>
      <x:c r="L8" s="105" t="str">
        <x:v>不要发送登录验证码。</x:v>
      </x:c>
    </x:row>
    <x:row r="9" ht="68" customHeight="1">
      <x:c r="A9" s="108" t="n">
        <x:v>4</x:v>
      </x:c>
      <x:c r="B9" s="108" t="str">
        <x:v>微信支付</x:v>
      </x:c>
      <x:c r="C9" s="108" t="str">
        <x:v>P0</x:v>
      </x:c>
      <x:c r="D9" s="108" t="str">
        <x:v>现在</x:v>
      </x:c>
      <x:c r="E9" s="105" t="str">
        <x:v>开通 JSAPI 支付产品</x:v>
      </x:c>
      <x:c r="F9" s="105" t="str">
        <x:v>在商户平台开通 JSAPI 支付权限；按平台要求补充经营场景和网站信息。</x:v>
      </x:c>
      <x:c r="G9" s="105" t="str">
        <x:v>https://pay.wechatpay.cn/doc/v3/merchant/4015423216</x:v>
      </x:c>
      <x:c r="H9" s="105" t="str">
        <x:v>商户平台显示 JSAPI 支付已开通。</x:v>
      </x:c>
      <x:c r="I9" s="105" t="str">
        <x:v>只告诉我：已开通/审核中/被驳回及驳回原因。</x:v>
      </x:c>
      <x:c r="J9" s="108" t="str">
        <x:v>未开始</x:v>
      </x:c>
      <x:c r="K9" s="111"/>
      <x:c r="L9" s="105" t="str">
        <x:v>当前优先接微信内支付。</x:v>
      </x:c>
    </x:row>
    <x:row r="10" ht="68" customHeight="1">
      <x:c r="A10" s="108" t="n">
        <x:v>5</x:v>
      </x:c>
      <x:c r="B10" s="108" t="str">
        <x:v>微信支付</x:v>
      </x:c>
      <x:c r="C10" s="108" t="str">
        <x:v>P0</x:v>
      </x:c>
      <x:c r="D10" s="108" t="str">
        <x:v>现在</x:v>
      </x:c>
      <x:c r="E10" s="105" t="str">
        <x:v>绑定公众号 AppID 与商户号</x:v>
      </x:c>
      <x:c r="F10" s="105" t="str">
        <x:v>先在商户平台发起 AppID 绑定，再到微信公众平台确认授权。</x:v>
      </x:c>
      <x:c r="G10" s="105" t="str">
        <x:v>https://pay.wechatpay.cn/doc/v3/merchant/4015423216</x:v>
      </x:c>
      <x:c r="H10" s="105" t="str">
        <x:v>商户平台与公众平台均显示绑定成功。</x:v>
      </x:c>
      <x:c r="I10" s="105" t="str">
        <x:v>可填写 AppID 与 MchID；不要提供 AppSecret。</x:v>
      </x:c>
      <x:c r="J10" s="108" t="str">
        <x:v>未开始</x:v>
      </x:c>
      <x:c r="K10" s="111"/>
      <x:c r="L10" s="105" t="str">
        <x:v>两边都要确认。</x:v>
      </x:c>
    </x:row>
    <x:row r="11" ht="68" customHeight="1">
      <x:c r="A11" s="108" t="n">
        <x:v>6</x:v>
      </x:c>
      <x:c r="B11" s="108" t="str">
        <x:v>微信支付</x:v>
      </x:c>
      <x:c r="C11" s="108" t="str">
        <x:v>P0</x:v>
      </x:c>
      <x:c r="D11" s="108" t="str">
        <x:v>现在</x:v>
      </x:c>
      <x:c r="E11" s="105" t="str">
        <x:v>配置技术负责人和安全联系人</x:v>
      </x:c>
      <x:c r="F11" s="105" t="str">
        <x:v>由商户超级管理员在商户平台设置技术负责人，确保能接收证书、风控和支付异常提醒。</x:v>
      </x:c>
      <x:c r="G11" s="105" t="str">
        <x:v>https://pay.wechatpay.cn/doc/v3/merchant/4015423216</x:v>
      </x:c>
      <x:c r="H11" s="105" t="str">
        <x:v>技术负责人账号可登录并收到提醒。</x:v>
      </x:c>
      <x:c r="I11" s="105" t="str">
        <x:v>只告诉我：已完成。</x:v>
      </x:c>
      <x:c r="J11" s="108" t="str">
        <x:v>未开始</x:v>
      </x:c>
      <x:c r="K11" s="111"/>
      <x:c r="L11" s="105" t="str">
        <x:v>建议不要多人共用超级管理员账号。</x:v>
      </x:c>
    </x:row>
    <x:row r="12" ht="68" customHeight="1">
      <x:c r="A12" s="108" t="n">
        <x:v>7</x:v>
      </x:c>
      <x:c r="B12" s="108" t="str">
        <x:v>公众号域名</x:v>
      </x:c>
      <x:c r="C12" s="108" t="str">
        <x:v>P0</x:v>
      </x:c>
      <x:c r="D12" s="108" t="str">
        <x:v>现在</x:v>
      </x:c>
      <x:c r="E12" s="105" t="str">
        <x:v>配置网页授权域名与 JS 接口安全域名</x:v>
      </x:c>
      <x:c r="F12" s="105" t="str">
        <x:v>在公众号后台按平台要求配置 zhongkao.pinmoo.top；如需上传域名验证文件，下载后交给我部署。</x:v>
      </x:c>
      <x:c r="G12" s="105" t="str">
        <x:v>https://mp.weixin.qq.com/</x:v>
      </x:c>
      <x:c r="H12" s="105" t="str">
        <x:v>公众号后台域名配置保存成功。</x:v>
      </x:c>
      <x:c r="I12" s="105" t="str">
        <x:v>告诉我：配置结果；如有验证文件，发文件本身，不要发账号密码。</x:v>
      </x:c>
      <x:c r="J12" s="108" t="str">
        <x:v>未开始</x:v>
      </x:c>
      <x:c r="K12" s="111"/>
      <x:c r="L12" s="105" t="str">
        <x:v>通常不填写 https:// 和路径，以后台提示为准。</x:v>
      </x:c>
    </x:row>
    <x:row r="13" ht="68" customHeight="1">
      <x:c r="A13" s="108" t="n">
        <x:v>8</x:v>
      </x:c>
      <x:c r="B13" s="108" t="str">
        <x:v>微信支付</x:v>
      </x:c>
      <x:c r="C13" s="108" t="str">
        <x:v>P0</x:v>
      </x:c>
      <x:c r="D13" s="108" t="str">
        <x:v>现在</x:v>
      </x:c>
      <x:c r="E13" s="105" t="str">
        <x:v>配置 JSAPI 支付授权目录</x:v>
      </x:c>
      <x:c r="F13" s="105" t="str">
        <x:v>商户平台配置支付授权目录：https://zhongkao.pinmoo.top/ 。</x:v>
      </x:c>
      <x:c r="G13" s="105" t="str">
        <x:v>https://pay.wechatpay.cn/doc/v3/merchant/4015423216</x:v>
      </x:c>
      <x:c r="H13" s="105" t="str">
        <x:v>授权目录审核/保存成功。</x:v>
      </x:c>
      <x:c r="I13" s="105" t="str">
        <x:v>只告诉我：已配置。</x:v>
      </x:c>
      <x:c r="J13" s="108" t="str">
        <x:v>未开始</x:v>
      </x:c>
      <x:c r="K13" s="111"/>
      <x:c r="L13" s="105" t="str">
        <x:v>目录必须包含末尾斜杠。</x:v>
      </x:c>
    </x:row>
    <x:row r="14" ht="68" customHeight="1">
      <x:c r="A14" s="108" t="n">
        <x:v>9</x:v>
      </x:c>
      <x:c r="B14" s="108" t="str">
        <x:v>微信支付安全</x:v>
      </x:c>
      <x:c r="C14" s="108" t="str">
        <x:v>P0</x:v>
      </x:c>
      <x:c r="D14" s="108" t="str">
        <x:v>现在</x:v>
      </x:c>
      <x:c r="E14" s="105" t="str">
        <x:v>申请商户 API 证书</x:v>
      </x:c>
      <x:c r="F14" s="105" t="str">
        <x:v>在本地使用微信支付证书工具申请证书，妥善保存 apiclient_key.pem 私钥。</x:v>
      </x:c>
      <x:c r="G14" s="105" t="str">
        <x:v>https://pay.wechatpay.cn/doc/v3/merchant/4024350132</x:v>
      </x:c>
      <x:c r="H14" s="105" t="str">
        <x:v>证书生效，已保存证书序列号和私钥备份。</x:v>
      </x:c>
      <x:c r="I14" s="105" t="str">
        <x:v>只给我证书序列号；私钥不要填表或发聊天。</x:v>
      </x:c>
      <x:c r="J14" s="108" t="str">
        <x:v>未开始</x:v>
      </x:c>
      <x:c r="K14" s="111"/>
      <x:c r="L14" s="105" t="str">
        <x:v>之后我会给安全上传命令。</x:v>
      </x:c>
    </x:row>
    <x:row r="15" ht="68" customHeight="1">
      <x:c r="A15" s="108" t="n">
        <x:v>10</x:v>
      </x:c>
      <x:c r="B15" s="108" t="str">
        <x:v>微信支付安全</x:v>
      </x:c>
      <x:c r="C15" s="108" t="str">
        <x:v>P0</x:v>
      </x:c>
      <x:c r="D15" s="108" t="str">
        <x:v>现在</x:v>
      </x:c>
      <x:c r="E15" s="105" t="str">
        <x:v>设置 APIv3 密钥</x:v>
      </x:c>
      <x:c r="F15" s="105" t="str">
        <x:v>在商户平台“账户中心 → API安全”设置 32 位 APIv3 密钥，并离线保存。</x:v>
      </x:c>
      <x:c r="G15" s="105" t="str">
        <x:v>https://pay.wechatpay.cn/doc/v3/merchant/4024350132</x:v>
      </x:c>
      <x:c r="H15" s="105" t="str">
        <x:v>APIv3 密钥设置成功，并有安全备份。</x:v>
      </x:c>
      <x:c r="I15" s="105" t="str">
        <x:v>只告诉我：已设置；绝不回传密钥内容。</x:v>
      </x:c>
      <x:c r="J15" s="108" t="str">
        <x:v>未开始</x:v>
      </x:c>
      <x:c r="K15" s="111"/>
      <x:c r="L15" s="105" t="str">
        <x:v>丢失后只能重设。</x:v>
      </x:c>
    </x:row>
    <x:row r="16" ht="68" customHeight="1">
      <x:c r="A16" s="108" t="n">
        <x:v>11</x:v>
      </x:c>
      <x:c r="B16" s="108" t="str">
        <x:v>微信支付安全</x:v>
      </x:c>
      <x:c r="C16" s="108" t="str">
        <x:v>P0</x:v>
      </x:c>
      <x:c r="D16" s="108" t="str">
        <x:v>现在</x:v>
      </x:c>
      <x:c r="E16" s="105" t="str">
        <x:v>申请微信支付公钥</x:v>
      </x:c>
      <x:c r="F16" s="105" t="str">
        <x:v>在商户平台申请微信支付公钥，下载 pub_key.pem，并记录公钥 ID。</x:v>
      </x:c>
      <x:c r="G16" s="105" t="str">
        <x:v>https://pay.wechatpay.cn/doc/v3/merchant/4024350132</x:v>
      </x:c>
      <x:c r="H16" s="105" t="str">
        <x:v>公钥文件与 PUB_KEY_ID 均已保存。</x:v>
      </x:c>
      <x:c r="I16" s="105" t="str">
        <x:v>可填写 PUB_KEY_ID；公钥文件后续按安全方式上传。</x:v>
      </x:c>
      <x:c r="J16" s="108" t="str">
        <x:v>未开始</x:v>
      </x:c>
      <x:c r="K16" s="111"/>
      <x:c r="L16" s="105" t="str">
        <x:v>微信官方当前推荐公钥方案。</x:v>
      </x:c>
    </x:row>
    <x:row r="17" ht="68" customHeight="1">
      <x:c r="A17" s="108" t="n">
        <x:v>12</x:v>
      </x:c>
      <x:c r="B17" s="108" t="str">
        <x:v>支付方式</x:v>
      </x:c>
      <x:c r="C17" s="108" t="str">
        <x:v>P1</x:v>
      </x:c>
      <x:c r="D17" s="108" t="str">
        <x:v>现在</x:v>
      </x:c>
      <x:c r="E17" s="105" t="str">
        <x:v>确认站外支付方式</x:v>
      </x:c>
      <x:c r="F17" s="105" t="str">
        <x:v>建议选择“微信内 JSAPI + 电脑端 Native 二维码”；确认是否还需要手机浏览器 H5 支付。</x:v>
      </x:c>
      <x:c r="G17" s="105" t="str">
        <x:v>https://pay.wechatpay.cn/doc/v3/merchant/4012791856</x:v>
      </x:c>
      <x:c r="H17" s="105" t="str">
        <x:v>支付方式范围确定。</x:v>
      </x:c>
      <x:c r="I17" s="105" t="str">
        <x:v>填写：JSAPI+Native，或 JSAPI+Native+H5。</x:v>
      </x:c>
      <x:c r="J17" s="108" t="str">
        <x:v>未开始</x:v>
      </x:c>
      <x:c r="K17" s="111"/>
      <x:c r="L17" s="105" t="str">
        <x:v>H5 支付可能增加额外域名和资质要求。</x:v>
      </x:c>
    </x:row>
    <x:row r="18" ht="68" customHeight="1">
      <x:c r="A18" s="108" t="n">
        <x:v>13</x:v>
      </x:c>
      <x:c r="B18" s="108" t="str">
        <x:v>阿里云短信</x:v>
      </x:c>
      <x:c r="C18" s="108" t="str">
        <x:v>P0</x:v>
      </x:c>
      <x:c r="D18" s="108" t="str">
        <x:v>现在</x:v>
      </x:c>
      <x:c r="E18" s="105" t="str">
        <x:v>开通短信服务</x:v>
      </x:c>
      <x:c r="F18" s="105" t="str">
        <x:v>登录阿里云短信控制台，开通国内短信服务。</x:v>
      </x:c>
      <x:c r="G18" s="105" t="str">
        <x:v>https://dysms.console.aliyun.com/overview</x:v>
      </x:c>
      <x:c r="H18" s="105" t="str">
        <x:v>控制台可进入国内消息并创建签名/模板。</x:v>
      </x:c>
      <x:c r="I18" s="105" t="str">
        <x:v>只告诉我：已开通。</x:v>
      </x:c>
      <x:c r="J18" s="108" t="str">
        <x:v>未开始</x:v>
      </x:c>
      <x:c r="K18" s="111"/>
      <x:c r="L18" s="105" t="str">
        <x:v>验证码登录依赖此项。</x:v>
      </x:c>
    </x:row>
    <x:row r="19" ht="68" customHeight="1">
      <x:c r="A19" s="108" t="n">
        <x:v>14</x:v>
      </x:c>
      <x:c r="B19" s="108" t="str">
        <x:v>阿里云短信</x:v>
      </x:c>
      <x:c r="C19" s="108" t="str">
        <x:v>P0</x:v>
      </x:c>
      <x:c r="D19" s="108" t="str">
        <x:v>现在</x:v>
      </x:c>
      <x:c r="E19" s="105" t="str">
        <x:v>提交短信资质</x:v>
      </x:c>
      <x:c r="F19" s="105" t="str">
        <x:v>按运营商实名要求提交广州品沐咨询有限公司相关资质材料。</x:v>
      </x:c>
      <x:c r="G19" s="105" t="str">
        <x:v>https://help.aliyun.com/zh/sms/user-guide/usage-notes</x:v>
      </x:c>
      <x:c r="H19" s="105" t="str">
        <x:v>短信资质审核通过。</x:v>
      </x:c>
      <x:c r="I19" s="105" t="str">
        <x:v>告诉我：审核通过/审核中/驳回原因。</x:v>
      </x:c>
      <x:c r="J19" s="108" t="str">
        <x:v>未开始</x:v>
      </x:c>
      <x:c r="K19" s="111"/>
      <x:c r="L19" s="105" t="str">
        <x:v>审核规则以控制台实时提示为准。</x:v>
      </x:c>
    </x:row>
    <x:row r="20" ht="68" customHeight="1">
      <x:c r="A20" s="108" t="n">
        <x:v>15</x:v>
      </x:c>
      <x:c r="B20" s="108" t="str">
        <x:v>阿里云短信</x:v>
      </x:c>
      <x:c r="C20" s="108" t="str">
        <x:v>P0</x:v>
      </x:c>
      <x:c r="D20" s="108" t="str">
        <x:v>现在</x:v>
      </x:c>
      <x:c r="E20" s="105" t="str">
        <x:v>申请短信签名</x:v>
      </x:c>
      <x:c r="F20" s="105" t="str">
        <x:v>申请能明确识别主体的验证码短信签名，建议优先尝试“品沐咨询”。</x:v>
      </x:c>
      <x:c r="G20" s="105" t="str">
        <x:v>https://help.aliyun.com/zh/sms/user-guide/create-signatures/</x:v>
      </x:c>
      <x:c r="H20" s="105" t="str">
        <x:v>签名审核通过。</x:v>
      </x:c>
      <x:c r="I20" s="105" t="str">
        <x:v>填写审核通过的 SignName。</x:v>
      </x:c>
      <x:c r="J20" s="108" t="str">
        <x:v>未开始</x:v>
      </x:c>
      <x:c r="K20" s="111"/>
      <x:c r="L20" s="105" t="str">
        <x:v>不要使用“测试”等字样。</x:v>
      </x:c>
    </x:row>
    <x:row r="21" ht="68" customHeight="1">
      <x:c r="A21" s="108" t="n">
        <x:v>16</x:v>
      </x:c>
      <x:c r="B21" s="108" t="str">
        <x:v>阿里云短信</x:v>
      </x:c>
      <x:c r="C21" s="108" t="str">
        <x:v>P0</x:v>
      </x:c>
      <x:c r="D21" s="108" t="str">
        <x:v>现在</x:v>
      </x:c>
      <x:c r="E21" s="105" t="str">
        <x:v>申请验证码模板</x:v>
      </x:c>
      <x:c r="F21" s="105" t="str">
        <x:v>创建验证码类型模板，示例：您的验证码为 ${code}，5分钟内有效，请勿泄露。以控制台变量规范为准。</x:v>
      </x:c>
      <x:c r="G21" s="105" t="str">
        <x:v>https://help.aliyun.com/zh/sms/product-overview/product-function-node-dysms</x:v>
      </x:c>
      <x:c r="H21" s="105" t="str">
        <x:v>验证码模板审核通过。</x:v>
      </x:c>
      <x:c r="I21" s="105" t="str">
        <x:v>填写 TemplateCode；无需提供模板密钥。</x:v>
      </x:c>
      <x:c r="J21" s="108" t="str">
        <x:v>未开始</x:v>
      </x:c>
      <x:c r="K21" s="111"/>
      <x:c r="L21" s="105" t="str">
        <x:v>签名与模板必须都审核通过。</x:v>
      </x:c>
    </x:row>
    <x:row r="22" ht="68" customHeight="1">
      <x:c r="A22" s="108" t="n">
        <x:v>17</x:v>
      </x:c>
      <x:c r="B22" s="108" t="str">
        <x:v>阿里云安全</x:v>
      </x:c>
      <x:c r="C22" s="108" t="str">
        <x:v>P0</x:v>
      </x:c>
      <x:c r="D22" s="108" t="str">
        <x:v>现在</x:v>
      </x:c>
      <x:c r="E22" s="105" t="str">
        <x:v>创建最小权限 RAM 用户</x:v>
      </x:c>
      <x:c r="F22" s="105" t="str">
        <x:v>在 RAM 控制台创建仅用于发短信的子账号，并只授予必要的短信发送权限。</x:v>
      </x:c>
      <x:c r="G22" s="105" t="str">
        <x:v>https://ram.console.aliyun.com/users</x:v>
      </x:c>
      <x:c r="H22" s="105" t="str">
        <x:v>独立 RAM 用户可调用短信服务。</x:v>
      </x:c>
      <x:c r="I22" s="105" t="str">
        <x:v>只告诉我：RAM 用户已建、AccessKey 已保存；不要填 Secret。</x:v>
      </x:c>
      <x:c r="J22" s="108" t="str">
        <x:v>未开始</x:v>
      </x:c>
      <x:c r="K22" s="111"/>
      <x:c r="L22" s="105" t="str">
        <x:v>不要使用阿里云主账号 AccessKey。</x:v>
      </x:c>
    </x:row>
    <x:row r="23" ht="68" customHeight="1">
      <x:c r="A23" s="108" t="n">
        <x:v>18</x:v>
      </x:c>
      <x:c r="B23" s="108" t="str">
        <x:v>阿里云短信</x:v>
      </x:c>
      <x:c r="C23" s="108" t="str">
        <x:v>P1</x:v>
      </x:c>
      <x:c r="D23" s="108" t="str">
        <x:v>现在</x:v>
      </x:c>
      <x:c r="E23" s="105" t="str">
        <x:v>充值并准备测试额度</x:v>
      </x:c>
      <x:c r="F23" s="105" t="str">
        <x:v>为短信服务准备少量余额，确保能发送验证码测试。</x:v>
      </x:c>
      <x:c r="G23" s="105" t="str">
        <x:v>https://dysms.console.aliyun.com/overview</x:v>
      </x:c>
      <x:c r="H23" s="105" t="str">
        <x:v>余额可用，测试号码已准备。</x:v>
      </x:c>
      <x:c r="I23" s="105" t="str">
        <x:v>告诉我：可以开始短信联调。</x:v>
      </x:c>
      <x:c r="J23" s="108" t="str">
        <x:v>未开始</x:v>
      </x:c>
      <x:c r="K23" s="111"/>
      <x:c r="L23" s="105" t="str">
        <x:v>先做小规模测试。</x:v>
      </x:c>
    </x:row>
    <x:row r="24" ht="68" customHeight="1">
      <x:c r="A24" s="108" t="n">
        <x:v>19</x:v>
      </x:c>
      <x:c r="B24" s="108" t="str">
        <x:v>公众号权益</x:v>
      </x:c>
      <x:c r="C24" s="108" t="str">
        <x:v>P0</x:v>
      </x:c>
      <x:c r="D24" s="108" t="str">
        <x:v>现在</x:v>
      </x:c>
      <x:c r="E24" s="105" t="str">
        <x:v>确认关注权益规则</x:v>
      </x:c>
      <x:c r="F24" s="105" t="str">
        <x:v>确认关注公众号可免费使用多久；建议“关注期间有效，取消关注只撤销关注权益，已付费权益永久不受影响”。</x:v>
      </x:c>
      <x:c r="G24" s="105" t="str">
        <x:v>https://mp.weixin.qq.com/</x:v>
      </x:c>
      <x:c r="H24" s="105" t="str">
        <x:v>规则书面确认。</x:v>
      </x:c>
      <x:c r="I24" s="105" t="str">
        <x:v>在“回传给Codex”页填写最终规则。</x:v>
      </x:c>
      <x:c r="J24" s="108" t="str">
        <x:v>未开始</x:v>
      </x:c>
      <x:c r="K24" s="111"/>
      <x:c r="L24" s="105" t="str">
        <x:v>避免误撤销付费用户。</x:v>
      </x:c>
    </x:row>
    <x:row r="25" ht="68" customHeight="1">
      <x:c r="A25" s="108" t="n">
        <x:v>20</x:v>
      </x:c>
      <x:c r="B25" s="108" t="str">
        <x:v>公众号权益</x:v>
      </x:c>
      <x:c r="C25" s="108" t="str">
        <x:v>P0</x:v>
      </x:c>
      <x:c r="D25" s="108" t="str">
        <x:v>等我通知</x:v>
      </x:c>
      <x:c r="E25" s="105" t="str">
        <x:v>配置关注/取消关注事件回调</x:v>
      </x:c>
      <x:c r="F25" s="105" t="str">
        <x:v>等我部署事件接口后，在公众号后台填写服务器 URL、Token 和 EncodingAESKey。</x:v>
      </x:c>
      <x:c r="G25" s="105" t="str">
        <x:v>https://mp.weixin.qq.com/</x:v>
      </x:c>
      <x:c r="H25" s="105" t="str">
        <x:v>公众号后台服务器配置验证通过。</x:v>
      </x:c>
      <x:c r="I25" s="105" t="str">
        <x:v>只告诉我：验证通过；Token/AESKey 不写表、不发聊天。</x:v>
      </x:c>
      <x:c r="J25" s="108" t="str">
        <x:v>等待Codex</x:v>
      </x:c>
      <x:c r="K25" s="111"/>
      <x:c r="L25" s="105" t="str">
        <x:v>我会先提供回调 URL 和安全配置步骤。</x:v>
      </x:c>
    </x:row>
    <x:row r="26" ht="68" customHeight="1">
      <x:c r="A26" s="108" t="n">
        <x:v>21</x:v>
      </x:c>
      <x:c r="B26" s="108" t="str">
        <x:v>定价与权益</x:v>
      </x:c>
      <x:c r="C26" s="108" t="str">
        <x:v>P0</x:v>
      </x:c>
      <x:c r="D26" s="108" t="str">
        <x:v>现在</x:v>
      </x:c>
      <x:c r="E26" s="105" t="str">
        <x:v>确认 9.99 元权益定义</x:v>
      </x:c>
      <x:c r="F26" s="105" t="str">
        <x:v>确认：一次支付 9.99 元、不自动续费、账号长期使用；同时明确“长期”以本系统持续运营为边界。</x:v>
      </x:c>
      <x:c r="G26" s="105" t="str">
        <x:v>https://zhongkao.pinmoo.top/unlock/</x:v>
      </x:c>
      <x:c r="H26" s="105" t="str">
        <x:v>权益描述最终确认。</x:v>
      </x:c>
      <x:c r="I26" s="105" t="str">
        <x:v>在“回传给Codex”页填写同意或修改意见。</x:v>
      </x:c>
      <x:c r="J26" s="108" t="str">
        <x:v>未开始</x:v>
      </x:c>
      <x:c r="K26" s="111"/>
      <x:c r="L26" s="105" t="str">
        <x:v>避免形成无限期经营承诺歧义。</x:v>
      </x:c>
    </x:row>
    <x:row r="27" ht="68" customHeight="1">
      <x:c r="A27" s="108" t="n">
        <x:v>22</x:v>
      </x:c>
      <x:c r="B27" s="108" t="str">
        <x:v>售后规则</x:v>
      </x:c>
      <x:c r="C27" s="108" t="str">
        <x:v>P0</x:v>
      </x:c>
      <x:c r="D27" s="108" t="str">
        <x:v>现在</x:v>
      </x:c>
      <x:c r="E27" s="105" t="str">
        <x:v>确定退款规则</x:v>
      </x:c>
      <x:c r="F27" s="105" t="str">
        <x:v>建议明确误购、重复支付、无法使用等场景的退款窗口和处理方式。</x:v>
      </x:c>
      <x:c r="G27" s="105" t="str">
        <x:v>https://zhongkao.pinmoo.top/unlock/</x:v>
      </x:c>
      <x:c r="H27" s="105" t="str">
        <x:v>形成可公开展示的退款说明。</x:v>
      </x:c>
      <x:c r="I27" s="105" t="str">
        <x:v>在“回传给Codex”页填写最终规则。</x:v>
      </x:c>
      <x:c r="J27" s="108" t="str">
        <x:v>未开始</x:v>
      </x:c>
      <x:c r="K27" s="111"/>
      <x:c r="L27" s="105" t="str">
        <x:v>支付前页面必须可查看。</x:v>
      </x:c>
    </x:row>
    <x:row r="28" ht="68" customHeight="1">
      <x:c r="A28" s="108" t="n">
        <x:v>23</x:v>
      </x:c>
      <x:c r="B28" s="108" t="str">
        <x:v>合规文本</x:v>
      </x:c>
      <x:c r="C28" s="108" t="str">
        <x:v>P0</x:v>
      </x:c>
      <x:c r="D28" s="108" t="str">
        <x:v>现在</x:v>
      </x:c>
      <x:c r="E28" s="105" t="str">
        <x:v>确认隐私政策与付费协议</x:v>
      </x:c>
      <x:c r="F28" s="105" t="str">
        <x:v>确认手机号用途、保存方式、账号注销、权益恢复、免责声明及争议处理主体。</x:v>
      </x:c>
      <x:c r="G28" s="105" t="str">
        <x:v>https://zhongkao.pinmoo.top/unlock/</x:v>
      </x:c>
      <x:c r="H28" s="105" t="str">
        <x:v>隐私政策、用户协议、付费说明可上线。</x:v>
      </x:c>
      <x:c r="I28" s="105" t="str">
        <x:v>告诉我：采用建议稿或提供修改意见。</x:v>
      </x:c>
      <x:c r="J28" s="108" t="str">
        <x:v>未开始</x:v>
      </x:c>
      <x:c r="K28" s="111"/>
      <x:c r="L28" s="105" t="str">
        <x:v>不收集姓名、准考证或联系方式以外身份信息。</x:v>
      </x:c>
    </x:row>
    <x:row r="29" ht="68" customHeight="1">
      <x:c r="A29" s="108" t="n">
        <x:v>24</x:v>
      </x:c>
      <x:c r="B29" s="108" t="str">
        <x:v>客服与票据</x:v>
      </x:c>
      <x:c r="C29" s="108" t="str">
        <x:v>P1</x:v>
      </x:c>
      <x:c r="D29" s="108" t="str">
        <x:v>现在</x:v>
      </x:c>
      <x:c r="E29" s="105" t="str">
        <x:v>确认客服与开票口径</x:v>
      </x:c>
      <x:c r="F29" s="105" t="str">
        <x:v>确认客服电话/公众号客服、服务时间，以及用户是否可以申请发票。</x:v>
      </x:c>
      <x:c r="G29" s="105" t="str">
        <x:v>https://zhongkao.pinmoo.top/unlock/</x:v>
      </x:c>
      <x:c r="H29" s="105" t="str">
        <x:v>客服和开票说明确定。</x:v>
      </x:c>
      <x:c r="I29" s="105" t="str">
        <x:v>填写客服方式、服务时间和开票规则。</x:v>
      </x:c>
      <x:c r="J29" s="108" t="str">
        <x:v>未开始</x:v>
      </x:c>
      <x:c r="K29" s="111"/>
      <x:c r="L29" s="105" t="str">
        <x:v>当前公开联系电话为 13600008584。</x:v>
      </x:c>
    </x:row>
    <x:row r="30" ht="68" customHeight="1">
      <x:c r="A30" s="109" t="n">
        <x:v>25</x:v>
      </x:c>
      <x:c r="B30" s="109" t="str">
        <x:v>上线验收</x:v>
      </x:c>
      <x:c r="C30" s="109" t="str">
        <x:v>P0</x:v>
      </x:c>
      <x:c r="D30" s="109" t="str">
        <x:v>等我通知</x:v>
      </x:c>
      <x:c r="E30" s="106" t="str">
        <x:v>安排真实支付与退款测试</x:v>
      </x:c>
      <x:c r="F30" s="106" t="str">
        <x:v>准备一个微信测试账号和一笔 9.99 元真实支付；验收权益到账、换设备恢复、重复购买拦截和退款。</x:v>
      </x:c>
      <x:c r="G30" s="106" t="str">
        <x:v>https://zhongkao.pinmoo.top/unlock/</x:v>
      </x:c>
      <x:c r="H30" s="106" t="str">
        <x:v>全链路测试通过且退款完成。</x:v>
      </x:c>
      <x:c r="I30" s="106" t="str">
        <x:v>告诉我可测试时间；不要提供支付密码。</x:v>
      </x:c>
      <x:c r="J30" s="109" t="str">
        <x:v>等待Codex</x:v>
      </x:c>
      <x:c r="K30" s="112"/>
      <x:c r="L30" s="106" t="str">
        <x:v>未通过前不会启用强制付费。</x:v>
      </x:c>
    </x:row>
  </x:sheetData>
  <x:mergeCells>
    <x:mergeCell ref="A1:L1"/>
    <x:mergeCell ref="A2:L2"/>
  </x:mergeCells>
  <x:conditionalFormatting sqref="A6:L30">
    <x:cfRule type="expression" dxfId="0" priority="1">
      <x:formula>$J6="已完成"</x:formula>
    </x:cfRule>
    <x:cfRule type="expression" dxfId="1" priority="2">
      <x:formula>$J6="等待Codex"</x:formula>
    </x:cfRule>
    <x:cfRule type="expression" dxfId="2" priority="3">
      <x:formula>$J6="待审核"</x:formula>
    </x:cfRule>
    <x:cfRule type="expression" dxfId="3" priority="4">
      <x:formula>$C6="P0"</x:formula>
    </x:cfRule>
  </x:conditionalFormatting>
  <x:dataValidations count="2">
    <x:dataValidation type="list" sqref="J6:J30">
      <x:formula1>"未开始,办理中,待审核,已完成,等待Codex,不适用"</x:formula1>
    </x:dataValidation>
    <x:dataValidation type="list" sqref="C6:C3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995b2c5a9348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48" hidden="0" customWidth="1"/>
    <x:col min="4" max="4" width="14" hidden="0" customWidth="1"/>
  </x:cols>
  <x:sheetData>
    <x:row r="1" ht="34" customHeight="1">
      <x:c r="A1" s="172" t="str">
        <x:v>完成后回传给 Codex 的信息</x:v>
      </x:c>
      <x:c r="B1" s="172"/>
      <x:c r="C1" s="172"/>
      <x:c r="D1" s="172"/>
    </x:row>
    <x:row r="2" ht="30" customHeight="1">
      <x:c r="A2" s="173" t="str">
        <x:v>这里只填写非敏感结果。标记为密钥、Secret、私钥的内容一律不要写入 Excel 或聊天。</x:v>
      </x:c>
      <x:c r="B2" s="173"/>
      <x:c r="C2" s="173"/>
      <x:c r="D2" s="173"/>
    </x:row>
    <x:row r="3">
      <x:c r="A3" s="61"/>
      <x:c r="B3" s="61"/>
      <x:c r="C3" s="61"/>
      <x:c r="D3" s="61"/>
    </x:row>
    <x:row r="4">
      <x:c r="A4" s="61"/>
      <x:c r="B4" s="61"/>
      <x:c r="C4" s="61"/>
      <x:c r="D4" s="61"/>
    </x:row>
    <x:row r="5" ht="32" customHeight="1">
      <x:c r="A5" s="174" t="str">
        <x:v>信息项</x:v>
      </x:c>
      <x:c r="B5" s="175" t="str">
        <x:v>你的填写</x:v>
      </x:c>
      <x:c r="C5" s="175" t="str">
        <x:v>填写说明</x:v>
      </x:c>
      <x:c r="D5" s="176" t="str">
        <x:v>安全级别</x:v>
      </x:c>
    </x:row>
    <x:row r="6" ht="38" customHeight="1">
      <x:c r="A6" s="120" t="str">
        <x:v>公众号类型</x:v>
      </x:c>
      <x:c r="B6" s="129" t="str"/>
      <x:c r="C6" s="120" t="str">
        <x:v>例如：已认证服务号</x:v>
      </x:c>
      <x:c r="D6" s="132" t="str">
        <x:v>可填写</x:v>
      </x:c>
    </x:row>
    <x:row r="7" ht="38" customHeight="1">
      <x:c r="A7" s="121" t="str">
        <x:v>公众号认证状态</x:v>
      </x:c>
      <x:c r="B7" s="130" t="str"/>
      <x:c r="C7" s="121" t="str">
        <x:v>已认证 / 待审核 / 主体不一致</x:v>
      </x:c>
      <x:c r="D7" s="133" t="str">
        <x:v>可填写</x:v>
      </x:c>
    </x:row>
    <x:row r="8" ht="38" customHeight="1">
      <x:c r="A8" s="121" t="str">
        <x:v>公众号 AppID</x:v>
      </x:c>
      <x:c r="B8" s="130" t="str"/>
      <x:c r="C8" s="121" t="str">
        <x:v>wx 开头；不要填写 AppSecret</x:v>
      </x:c>
      <x:c r="D8" s="133" t="str">
        <x:v>可填写</x:v>
      </x:c>
    </x:row>
    <x:row r="9" ht="38" customHeight="1">
      <x:c r="A9" s="121" t="str">
        <x:v>微信支付商户号 MchID</x:v>
      </x:c>
      <x:c r="B9" s="130" t="str"/>
      <x:c r="C9" s="121" t="str">
        <x:v>数字商户号</x:v>
      </x:c>
      <x:c r="D9" s="133" t="str">
        <x:v>可填写</x:v>
      </x:c>
    </x:row>
    <x:row r="10" ht="38" customHeight="1">
      <x:c r="A10" s="121" t="str">
        <x:v>JSAPI 支付状态</x:v>
      </x:c>
      <x:c r="B10" s="130" t="str"/>
      <x:c r="C10" s="121" t="str">
        <x:v>已开通 / 审核中 / 驳回</x:v>
      </x:c>
      <x:c r="D10" s="133" t="str">
        <x:v>可填写</x:v>
      </x:c>
    </x:row>
    <x:row r="11" ht="38" customHeight="1">
      <x:c r="A11" s="121" t="str">
        <x:v>AppID 与 MchID 绑定状态</x:v>
      </x:c>
      <x:c r="B11" s="130" t="str"/>
      <x:c r="C11" s="121" t="str">
        <x:v>两边均确认成功</x:v>
      </x:c>
      <x:c r="D11" s="133" t="str">
        <x:v>可填写</x:v>
      </x:c>
    </x:row>
    <x:row r="12" ht="38" customHeight="1">
      <x:c r="A12" s="121" t="str">
        <x:v>商户 API 证书序列号</x:v>
      </x:c>
      <x:c r="B12" s="130" t="str"/>
      <x:c r="C12" s="121" t="str">
        <x:v>只填序列号，不填私钥</x:v>
      </x:c>
      <x:c r="D12" s="133" t="str">
        <x:v>可填写</x:v>
      </x:c>
    </x:row>
    <x:row r="13" ht="38" customHeight="1">
      <x:c r="A13" s="121" t="str">
        <x:v>微信支付公钥 ID</x:v>
      </x:c>
      <x:c r="B13" s="130" t="str"/>
      <x:c r="C13" s="121" t="str">
        <x:v>PUB_KEY_ID_...</x:v>
      </x:c>
      <x:c r="D13" s="133" t="str">
        <x:v>可填写</x:v>
      </x:c>
    </x:row>
    <x:row r="14" ht="38" customHeight="1">
      <x:c r="A14" s="121" t="str">
        <x:v>支付方式选择</x:v>
      </x:c>
      <x:c r="B14" s="130" t="str"/>
      <x:c r="C14" s="121" t="str">
        <x:v>建议：JSAPI + Native</x:v>
      </x:c>
      <x:c r="D14" s="133" t="str">
        <x:v>可填写</x:v>
      </x:c>
    </x:row>
    <x:row r="15" ht="38" customHeight="1">
      <x:c r="A15" s="121" t="str">
        <x:v>短信资质状态</x:v>
      </x:c>
      <x:c r="B15" s="130" t="str"/>
      <x:c r="C15" s="121" t="str">
        <x:v>通过 / 审核中 / 驳回原因</x:v>
      </x:c>
      <x:c r="D15" s="133" t="str">
        <x:v>可填写</x:v>
      </x:c>
    </x:row>
    <x:row r="16" ht="38" customHeight="1">
      <x:c r="A16" s="121" t="str">
        <x:v>短信签名 SignName</x:v>
      </x:c>
      <x:c r="B16" s="130" t="str"/>
      <x:c r="C16" s="121" t="str">
        <x:v>例如：品沐咨询</x:v>
      </x:c>
      <x:c r="D16" s="133" t="str">
        <x:v>可填写</x:v>
      </x:c>
    </x:row>
    <x:row r="17" ht="38" customHeight="1">
      <x:c r="A17" s="121" t="str">
        <x:v>短信模板 TemplateCode</x:v>
      </x:c>
      <x:c r="B17" s="130" t="str"/>
      <x:c r="C17" s="121" t="str">
        <x:v>审核通过的模板 CODE</x:v>
      </x:c>
      <x:c r="D17" s="133" t="str">
        <x:v>可填写</x:v>
      </x:c>
    </x:row>
    <x:row r="18" ht="38" customHeight="1">
      <x:c r="A18" s="121" t="str">
        <x:v>RAM 用户与 AccessKey</x:v>
      </x:c>
      <x:c r="B18" s="130" t="str"/>
      <x:c r="C18" s="121" t="str">
        <x:v>只填“已创建并安全保存”，不要填 Secret</x:v>
      </x:c>
      <x:c r="D18" s="133" t="str">
        <x:v>仅填状态</x:v>
      </x:c>
    </x:row>
    <x:row r="19" ht="38" customHeight="1">
      <x:c r="A19" s="121" t="str">
        <x:v>关注权益规则</x:v>
      </x:c>
      <x:c r="B19" s="130" t="str"/>
      <x:c r="C19" s="121" t="str">
        <x:v>建议：关注期间有效，取消关注撤销 follow 权益</x:v>
      </x:c>
      <x:c r="D19" s="133" t="str">
        <x:v>可填写</x:v>
      </x:c>
    </x:row>
    <x:row r="20" ht="38" customHeight="1">
      <x:c r="A20" s="121" t="str">
        <x:v>9.99 元权益描述</x:v>
      </x:c>
      <x:c r="B20" s="130" t="str"/>
      <x:c r="C20" s="121" t="str">
        <x:v>确认或提出修改</x:v>
      </x:c>
      <x:c r="D20" s="133" t="str">
        <x:v>可填写</x:v>
      </x:c>
    </x:row>
    <x:row r="21" ht="38" customHeight="1">
      <x:c r="A21" s="121" t="str">
        <x:v>退款规则</x:v>
      </x:c>
      <x:c r="B21" s="130" t="str"/>
      <x:c r="C21" s="121" t="str">
        <x:v>填写最终决定</x:v>
      </x:c>
      <x:c r="D21" s="133" t="str">
        <x:v>可填写</x:v>
      </x:c>
    </x:row>
    <x:row r="22" ht="38" customHeight="1">
      <x:c r="A22" s="121" t="str">
        <x:v>客服方式与服务时间</x:v>
      </x:c>
      <x:c r="B22" s="130" t="str"/>
      <x:c r="C22" s="121" t="str">
        <x:v>电话/公众号客服/时间</x:v>
      </x:c>
      <x:c r="D22" s="133" t="str">
        <x:v>可填写</x:v>
      </x:c>
    </x:row>
    <x:row r="23" ht="38" customHeight="1">
      <x:c r="A23" s="121" t="str">
        <x:v>开票规则</x:v>
      </x:c>
      <x:c r="B23" s="130" t="str"/>
      <x:c r="C23" s="121" t="str">
        <x:v>支持/不支持及申请方式</x:v>
      </x:c>
      <x:c r="D23" s="133" t="str">
        <x:v>可填写</x:v>
      </x:c>
    </x:row>
    <x:row r="24" ht="38" customHeight="1">
      <x:c r="A24" s="122" t="str">
        <x:v>预计可联调日期</x:v>
      </x:c>
      <x:c r="B24" s="131"/>
      <x:c r="C24" s="122" t="str">
        <x:v>填写方便进行支付测试的日期</x:v>
      </x:c>
      <x:c r="D24" s="134" t="str">
        <x:v>可填写</x:v>
      </x:c>
    </x:row>
    <x:row r="25">
      <x:c r="A25" s="61"/>
      <x:c r="B25" s="61"/>
      <x:c r="C25" s="61"/>
      <x:c r="D25" s="61"/>
    </x:row>
    <x:row r="26">
      <x:c r="A26" s="61"/>
      <x:c r="B26" s="61"/>
      <x:c r="C26" s="61"/>
      <x:c r="D26" s="61"/>
    </x:row>
    <x:row r="27" ht="28" customHeight="1">
      <x:c r="A27" s="177" t="str">
        <x:v>严禁填写：AppSecret、商户私钥、APIv3 密钥、AccessKey Secret、支付密码、公众号 Token、EncodingAESKey。准备好后只写“已安全保存”。</x:v>
      </x:c>
      <x:c r="B27" s="178"/>
      <x:c r="C27" s="178"/>
      <x:c r="D27" s="179"/>
    </x:row>
    <x:row r="28" ht="28" customHeight="1">
      <x:c r="A28" s="180"/>
      <x:c r="B28" s="181"/>
      <x:c r="C28" s="181"/>
      <x:c r="D28" s="182"/>
    </x:row>
    <x:row r="29" ht="28" customHeight="1">
      <x:c r="A29" s="183"/>
      <x:c r="B29" s="184"/>
      <x:c r="C29" s="184"/>
      <x:c r="D29" s="185"/>
    </x:row>
  </x:sheetData>
  <x:mergeCells>
    <x:mergeCell ref="A1:D1"/>
    <x:mergeCell ref="A2:D2"/>
    <x:mergeCell ref="A27:D2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18" hidden="0" customWidth="1"/>
    <x:col min="4" max="4" width="58" hidden="0" customWidth="1"/>
  </x:cols>
  <x:sheetData>
    <x:row r="1" ht="34" customHeight="1">
      <x:c r="A1" s="172" t="str">
        <x:v>你完成前置后，我继续实施的事项</x:v>
      </x:c>
      <x:c r="B1" s="172"/>
      <x:c r="C1" s="172"/>
      <x:c r="D1" s="172"/>
    </x:row>
    <x:row r="2" ht="30" customHeight="1">
      <x:c r="A2" s="173" t="str">
        <x:v>这些技术事项由我处理，你不需要自己写代码；完成顺序以支付和短信资质到位为前提。</x:v>
      </x:c>
      <x:c r="B2" s="173"/>
      <x:c r="C2" s="173"/>
      <x:c r="D2" s="173"/>
    </x:row>
    <x:row r="3">
      <x:c r="A3" s="61"/>
      <x:c r="B3" s="61"/>
      <x:c r="C3" s="61"/>
      <x:c r="D3" s="61"/>
    </x:row>
    <x:row r="4">
      <x:c r="A4" s="61"/>
      <x:c r="B4" s="61"/>
      <x:c r="C4" s="61"/>
      <x:c r="D4" s="61"/>
    </x:row>
    <x:row r="5" ht="32" customHeight="1">
      <x:c r="A5" s="174" t="str">
        <x:v>序号</x:v>
      </x:c>
      <x:c r="B5" s="175" t="str">
        <x:v>技术事项</x:v>
      </x:c>
      <x:c r="C5" s="175" t="str">
        <x:v>当前状态</x:v>
      </x:c>
      <x:c r="D5" s="176" t="str">
        <x:v>我会完成什么</x:v>
      </x:c>
    </x:row>
    <x:row r="6" ht="46" customHeight="1">
      <x:c r="A6" s="132" t="n">
        <x:v>1</x:v>
      </x:c>
      <x:c r="B6" s="120" t="str">
        <x:v>短信验证码适配器</x:v>
      </x:c>
      <x:c r="C6" s="192" t="str">
        <x:v>等待用户前置</x:v>
      </x:c>
      <x:c r="D6" s="120" t="str">
        <x:v>接入阿里云 SendSms、发送回执和生产限流。</x:v>
      </x:c>
    </x:row>
    <x:row r="7" ht="46" customHeight="1">
      <x:c r="A7" s="133" t="n">
        <x:v>2</x:v>
      </x:c>
      <x:c r="B7" s="121" t="str">
        <x:v>微信 OAuth 与 OpenID</x:v>
      </x:c>
      <x:c r="C7" s="193" t="str">
        <x:v>等待用户前置</x:v>
      </x:c>
      <x:c r="D7" s="121" t="str">
        <x:v>完成公众号网页授权，获得 JSAPI 下单所需 OpenID。</x:v>
      </x:c>
    </x:row>
    <x:row r="8" ht="46" customHeight="1">
      <x:c r="A8" s="133" t="n">
        <x:v>3</x:v>
      </x:c>
      <x:c r="B8" s="121" t="str">
        <x:v>JSAPI 与 Native 支付</x:v>
      </x:c>
      <x:c r="C8" s="193" t="str">
        <x:v>等待用户前置</x:v>
      </x:c>
      <x:c r="D8" s="121" t="str">
        <x:v>实现微信内调起支付和电脑端二维码支付。</x:v>
      </x:c>
    </x:row>
    <x:row r="9" ht="46" customHeight="1">
      <x:c r="A9" s="133" t="n">
        <x:v>4</x:v>
      </x:c>
      <x:c r="B9" s="121" t="str">
        <x:v>支付回调与幂等入账</x:v>
      </x:c>
      <x:c r="C9" s="193" t="str">
        <x:v>等待用户前置</x:v>
      </x:c>
      <x:c r="D9" s="121" t="str">
        <x:v>完成验签、AES-GCM 解密、金额/商户核验和重复通知处理。</x:v>
      </x:c>
    </x:row>
    <x:row r="10" ht="46" customHeight="1">
      <x:c r="A10" s="133" t="n">
        <x:v>5</x:v>
      </x:c>
      <x:c r="B10" s="121" t="str">
        <x:v>订单查询、关单与退款</x:v>
      </x:c>
      <x:c r="C10" s="193" t="str">
        <x:v>等待用户前置</x:v>
      </x:c>
      <x:c r="D10" s="121" t="str">
        <x:v>不能只依赖回调；补齐主动查单和退款流程。</x:v>
      </x:c>
    </x:row>
    <x:row r="11" ht="46" customHeight="1">
      <x:c r="A11" s="133" t="n">
        <x:v>6</x:v>
      </x:c>
      <x:c r="B11" s="121" t="str">
        <x:v>公众号关注权益</x:v>
      </x:c>
      <x:c r="C11" s="193" t="str">
        <x:v>等待用户前置</x:v>
      </x:c>
      <x:c r="D11" s="121" t="str">
        <x:v>接入 subscribe/unsubscribe 事件，只撤销 follow 来源权益。</x:v>
      </x:c>
    </x:row>
    <x:row r="12" ht="46" customHeight="1">
      <x:c r="A12" s="133" t="n">
        <x:v>7</x:v>
      </x:c>
      <x:c r="B12" s="121" t="str">
        <x:v>协议与隐私页面</x:v>
      </x:c>
      <x:c r="C12" s="193" t="str">
        <x:v>等待用户确认</x:v>
      </x:c>
      <x:c r="D12" s="121" t="str">
        <x:v>根据用户确认内容制作隐私政策、付费协议和退款说明。</x:v>
      </x:c>
    </x:row>
    <x:row r="13" ht="46" customHeight="1">
      <x:c r="A13" s="133" t="n">
        <x:v>8</x:v>
      </x:c>
      <x:c r="B13" s="121" t="str">
        <x:v>加密备份与恢复</x:v>
      </x:c>
      <x:c r="C13" s="193" t="str">
        <x:v>待实施</x:v>
      </x:c>
      <x:c r="D13" s="121" t="str">
        <x:v>上线权益数据库自动备份、保留周期和恢复演练。</x:v>
      </x:c>
    </x:row>
    <x:row r="14" ht="46" customHeight="1">
      <x:c r="A14" s="133" t="n">
        <x:v>9</x:v>
      </x:c>
      <x:c r="B14" s="121" t="str">
        <x:v>真实支付验收</x:v>
      </x:c>
      <x:c r="C14" s="193" t="str">
        <x:v>等待用户前置</x:v>
      </x:c>
      <x:c r="D14" s="121" t="str">
        <x:v>完成 9.99 元支付、权益恢复、重复购买与退款测试。</x:v>
      </x:c>
    </x:row>
    <x:row r="15" ht="46" customHeight="1">
      <x:c r="A15" s="134" t="n">
        <x:v>10</x:v>
      </x:c>
      <x:c r="B15" s="122" t="str">
        <x:v>启用强制付费</x:v>
      </x:c>
      <x:c r="C15" s="194" t="str">
        <x:v>等待最终批准</x:v>
      </x:c>
      <x:c r="D15" s="122" t="str">
        <x:v>全部验收后才把 preview 切换为 enforce。</x:v>
      </x:c>
    </x:row>
  </x:sheetData>
  <x:mergeCells>
    <x:mergeCell ref="A1:D1"/>
    <x:mergeCell ref="A2:D2"/>
  </x:mergeCells>
  <x:pageMargins left="0.7" right="0.7" top="0.75" bottom="0.75" header="0.3" footer="0.3"/>
</x:worksheet>
</file>